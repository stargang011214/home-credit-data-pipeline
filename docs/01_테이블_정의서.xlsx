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테이블정의서" sheetId="1" state="visible" r:id="rId3"/>
  </sheets>
  <definedNames>
    <definedName function="false" hidden="true" localSheetId="0" name="_xlnm._FilterDatabase" vbProcedure="false">테이블정의서!$A$11:$H$133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<sst xmlns="http://schemas.openxmlformats.org/spreadsheetml/2006/main" count="510" uniqueCount="271">
  <si>
    <r>
      <rPr>
        <b val="true"/>
        <sz val="14"/>
        <rFont val="Noto Sans CJK SC"/>
        <family val="2"/>
      </rPr>
      <t xml:space="preserve">테이블 정의서 </t>
    </r>
    <r>
      <rPr>
        <b val="true"/>
        <sz val="14"/>
        <rFont val="Arial"/>
        <family val="0"/>
        <charset val="1"/>
      </rPr>
      <t xml:space="preserve">(Table Definition)</t>
    </r>
  </si>
  <si>
    <t xml:space="preserve">테이블명</t>
  </si>
  <si>
    <t xml:space="preserve">application_train_final</t>
  </si>
  <si>
    <t xml:space="preserve">데이터베이스</t>
  </si>
  <si>
    <t xml:space="preserve">test_etl.db (SQLite)</t>
  </si>
  <si>
    <t xml:space="preserve">원본 데이터</t>
  </si>
  <si>
    <t xml:space="preserve">Home Credit Default Risk - application_train.csv (Kaggle)</t>
  </si>
  <si>
    <t xml:space="preserve">총 컬럼 수</t>
  </si>
  <si>
    <t xml:space="preserve">총 데이터 건수</t>
  </si>
  <si>
    <t xml:space="preserve">작성일</t>
  </si>
  <si>
    <t xml:space="preserve">2026-09-21</t>
  </si>
  <si>
    <t xml:space="preserve">작성자</t>
  </si>
  <si>
    <t xml:space="preserve">윤강</t>
  </si>
  <si>
    <t xml:space="preserve">No</t>
  </si>
  <si>
    <t xml:space="preserve">컬럼명</t>
  </si>
  <si>
    <r>
      <rPr>
        <b val="true"/>
        <sz val="10"/>
        <color rgb="FFFFFFFF"/>
        <rFont val="Noto Sans CJK SC"/>
        <family val="2"/>
      </rPr>
      <t xml:space="preserve">데이터타입
</t>
    </r>
    <r>
      <rPr>
        <b val="true"/>
        <sz val="10"/>
        <color rgb="FFFFFFFF"/>
        <rFont val="Arial"/>
        <family val="0"/>
        <charset val="1"/>
      </rPr>
      <t xml:space="preserve">(SQLite)</t>
    </r>
  </si>
  <si>
    <r>
      <rPr>
        <b val="true"/>
        <sz val="10"/>
        <color rgb="FFFFFFFF"/>
        <rFont val="Arial"/>
        <family val="0"/>
        <charset val="1"/>
      </rPr>
      <t xml:space="preserve">Not Null
(</t>
    </r>
    <r>
      <rPr>
        <b val="true"/>
        <sz val="10"/>
        <color rgb="FFFFFFFF"/>
        <rFont val="Noto Sans CJK SC"/>
        <family val="2"/>
      </rPr>
      <t xml:space="preserve">실측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</si>
  <si>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PK
</t>
    </r>
    <r>
      <rPr>
        <b val="true"/>
        <sz val="10"/>
        <color rgb="FFFFFFFF"/>
        <rFont val="Noto Sans CJK SC"/>
        <family val="2"/>
      </rPr>
      <t xml:space="preserve">여부</t>
    </r>
  </si>
  <si>
    <t xml:space="preserve">결측치
건수</t>
  </si>
  <si>
    <r>
      <rPr>
        <b val="true"/>
        <sz val="10"/>
        <color rgb="FFFFFFFF"/>
        <rFont val="Noto Sans CJK SC"/>
        <family val="2"/>
      </rPr>
      <t xml:space="preserve">결측치
비율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</si>
  <si>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설명</t>
  </si>
  <si>
    <t xml:space="preserve">SK_ID_CURR</t>
  </si>
  <si>
    <t xml:space="preserve">BIGINT</t>
  </si>
  <si>
    <t xml:space="preserve">Y</t>
  </si>
  <si>
    <t xml:space="preserve">PK</t>
  </si>
  <si>
    <r>
      <rPr>
        <sz val="10"/>
        <rFont val="Noto Sans CJK SC"/>
        <family val="2"/>
      </rPr>
      <t xml:space="preserve">대출 건 고유 식별자 </t>
    </r>
    <r>
      <rPr>
        <sz val="10"/>
        <rFont val="Arial"/>
        <family val="0"/>
        <charset val="1"/>
      </rPr>
      <t xml:space="preserve">(Primary Key)</t>
    </r>
  </si>
  <si>
    <t xml:space="preserve">TARGET</t>
  </si>
  <si>
    <r>
      <rPr>
        <sz val="10"/>
        <rFont val="Noto Sans CJK SC"/>
        <family val="2"/>
      </rPr>
      <t xml:space="preserve">상환 곤란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상환 곤란 이력 있음</t>
    </r>
    <r>
      <rPr>
        <sz val="10"/>
        <rFont val="Arial"/>
        <family val="0"/>
        <charset val="1"/>
      </rPr>
      <t xml:space="preserve">, 0=</t>
    </r>
    <r>
      <rPr>
        <sz val="10"/>
        <rFont val="Noto Sans CJK SC"/>
        <family val="2"/>
      </rPr>
      <t xml:space="preserve">정상 상환</t>
    </r>
    <r>
      <rPr>
        <sz val="10"/>
        <rFont val="Arial"/>
        <family val="0"/>
        <charset val="1"/>
      </rPr>
      <t xml:space="preserve">)</t>
    </r>
  </si>
  <si>
    <t xml:space="preserve">NAME_CONTRACT_TYPE</t>
  </si>
  <si>
    <t xml:space="preserve">TEXT</t>
  </si>
  <si>
    <r>
      <rPr>
        <sz val="10"/>
        <rFont val="Noto Sans CJK SC"/>
        <family val="2"/>
      </rPr>
      <t xml:space="preserve">대출 종류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현금대출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리볼빙대출</t>
    </r>
    <r>
      <rPr>
        <sz val="10"/>
        <rFont val="Arial"/>
        <family val="0"/>
        <charset val="1"/>
      </rPr>
      <t xml:space="preserve">)</t>
    </r>
  </si>
  <si>
    <t xml:space="preserve">CODE_GENDER</t>
  </si>
  <si>
    <t xml:space="preserve">고객 성별</t>
  </si>
  <si>
    <t xml:space="preserve">FLAG_OWN_CAR</t>
  </si>
  <si>
    <r>
      <rPr>
        <sz val="10"/>
        <rFont val="Noto Sans CJK SC"/>
        <family val="2"/>
      </rPr>
      <t xml:space="preserve">차량 소유 여부 </t>
    </r>
    <r>
      <rPr>
        <sz val="10"/>
        <rFont val="Arial"/>
        <family val="0"/>
        <charset val="1"/>
      </rPr>
      <t xml:space="preserve">(Y/N)</t>
    </r>
  </si>
  <si>
    <t xml:space="preserve">FLAG_OWN_REALTY</t>
  </si>
  <si>
    <r>
      <rPr>
        <sz val="10"/>
        <rFont val="Noto Sans CJK SC"/>
        <family val="2"/>
      </rPr>
      <t xml:space="preserve">부동산 소유 여부 </t>
    </r>
    <r>
      <rPr>
        <sz val="10"/>
        <rFont val="Arial"/>
        <family val="0"/>
        <charset val="1"/>
      </rPr>
      <t xml:space="preserve">(Y/N)</t>
    </r>
  </si>
  <si>
    <t xml:space="preserve">CNT_CHILDREN</t>
  </si>
  <si>
    <t xml:space="preserve">자녀 수</t>
  </si>
  <si>
    <t xml:space="preserve">AMT_INCOME_TOTAL</t>
  </si>
  <si>
    <t xml:space="preserve">FLOAT</t>
  </si>
  <si>
    <t xml:space="preserve">고객 총 소득</t>
  </si>
  <si>
    <t xml:space="preserve">AMT_CREDIT</t>
  </si>
  <si>
    <t xml:space="preserve">대출 신청 금액</t>
  </si>
  <si>
    <t xml:space="preserve">AMT_ANNUITY</t>
  </si>
  <si>
    <t xml:space="preserve">N</t>
  </si>
  <si>
    <r>
      <rPr>
        <sz val="10"/>
        <rFont val="Noto Sans CJK SC"/>
        <family val="2"/>
      </rPr>
      <t xml:space="preserve">대출 연금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상환액</t>
    </r>
    <r>
      <rPr>
        <sz val="10"/>
        <rFont val="Arial"/>
        <family val="0"/>
        <charset val="1"/>
      </rPr>
      <t xml:space="preserve">)</t>
    </r>
  </si>
  <si>
    <t xml:space="preserve">AMT_GOODS_PRICE</t>
  </si>
  <si>
    <t xml:space="preserve">소비재 대출 시 구매 재화의 가격</t>
  </si>
  <si>
    <t xml:space="preserve">NAME_TYPE_SUITE</t>
  </si>
  <si>
    <t xml:space="preserve">대출 신청 시 동행자 유형</t>
  </si>
  <si>
    <t xml:space="preserve">NAME_INCOME_TYPE</t>
  </si>
  <si>
    <r>
      <rPr>
        <sz val="10"/>
        <rFont val="Noto Sans CJK SC"/>
        <family val="2"/>
      </rPr>
      <t xml:space="preserve">소득 유형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근로소득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사업소득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연금 등</t>
    </r>
    <r>
      <rPr>
        <sz val="10"/>
        <rFont val="Arial"/>
        <family val="0"/>
        <charset val="1"/>
      </rPr>
      <t xml:space="preserve">)</t>
    </r>
  </si>
  <si>
    <t xml:space="preserve">NAME_EDUCATION_TYPE</t>
  </si>
  <si>
    <t xml:space="preserve">최종 학력</t>
  </si>
  <si>
    <t xml:space="preserve">NAME_FAMILY_STATUS</t>
  </si>
  <si>
    <t xml:space="preserve">결혼 상태</t>
  </si>
  <si>
    <t xml:space="preserve">NAME_HOUSING_TYPE</t>
  </si>
  <si>
    <r>
      <rPr>
        <sz val="10"/>
        <rFont val="Noto Sans CJK SC"/>
        <family val="2"/>
      </rPr>
      <t xml:space="preserve">주거 형태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임대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부모님 거주 등</t>
    </r>
    <r>
      <rPr>
        <sz val="10"/>
        <rFont val="Arial"/>
        <family val="0"/>
        <charset val="1"/>
      </rPr>
      <t xml:space="preserve">)</t>
    </r>
  </si>
  <si>
    <t xml:space="preserve">REGION_POPULATION_RELATIVE</t>
  </si>
  <si>
    <t xml:space="preserve">거주 지역 인구밀도 정규화 지수</t>
  </si>
  <si>
    <t xml:space="preserve">DAYS_BIRTH</t>
  </si>
  <si>
    <r>
      <rPr>
        <sz val="10"/>
        <rFont val="Noto Sans CJK SC"/>
        <family val="2"/>
      </rPr>
      <t xml:space="preserve">신청일 기준 출생 후 경과일수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)</t>
    </r>
  </si>
  <si>
    <t xml:space="preserve">DAYS_EMPLOYED</t>
  </si>
  <si>
    <r>
      <rPr>
        <sz val="10"/>
        <rFont val="Noto Sans CJK SC"/>
        <family val="2"/>
      </rPr>
      <t xml:space="preserve">신청일 기준 근속 경과일수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연금수급자는 </t>
    </r>
    <r>
      <rPr>
        <sz val="10"/>
        <rFont val="Arial"/>
        <family val="0"/>
        <charset val="1"/>
      </rPr>
      <t xml:space="preserve">365243 </t>
    </r>
    <r>
      <rPr>
        <sz val="10"/>
        <rFont val="Noto Sans CJK SC"/>
        <family val="2"/>
      </rPr>
      <t xml:space="preserve">이상치 존재</t>
    </r>
    <r>
      <rPr>
        <sz val="10"/>
        <rFont val="Arial"/>
        <family val="0"/>
        <charset val="1"/>
      </rPr>
      <t xml:space="preserve">)</t>
    </r>
  </si>
  <si>
    <t xml:space="preserve">DAYS_REGISTRATION</t>
  </si>
  <si>
    <t xml:space="preserve">신청일 기준 주민등록 정보 변경 후 경과일수</t>
  </si>
  <si>
    <t xml:space="preserve">DAYS_ID_PUBLISH</t>
  </si>
  <si>
    <r>
      <rPr>
        <sz val="10"/>
        <rFont val="Noto Sans CJK SC"/>
        <family val="2"/>
      </rPr>
      <t xml:space="preserve">신청일 기준 신분증 발급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변경 후 경과일수</t>
    </r>
  </si>
  <si>
    <t xml:space="preserve">OWN_CAR_AGE</t>
  </si>
  <si>
    <r>
      <rPr>
        <sz val="10"/>
        <rFont val="Noto Sans CJK SC"/>
        <family val="2"/>
      </rPr>
      <t xml:space="preserve">보유 차량 연식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</si>
  <si>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FLAG_MOBIL</t>
  </si>
  <si>
    <t xml:space="preserve">휴대폰 정보 제공 여부</t>
  </si>
  <si>
    <t xml:space="preserve">FLAG_EMP_PHONE</t>
  </si>
  <si>
    <t xml:space="preserve">직장 전화번호 제공 여부</t>
  </si>
  <si>
    <t xml:space="preserve">FLAG_WORK_PHONE</t>
  </si>
  <si>
    <t xml:space="preserve">업무용 전화번호 제공 여부</t>
  </si>
  <si>
    <t xml:space="preserve">FLAG_CONT_MOBILE</t>
  </si>
  <si>
    <t xml:space="preserve">휴대폰 연락 가능 여부</t>
  </si>
  <si>
    <t xml:space="preserve">FLAG_PHONE</t>
  </si>
  <si>
    <t xml:space="preserve">자택 전화번호 제공 여부</t>
  </si>
  <si>
    <t xml:space="preserve">FLAG_EMAIL</t>
  </si>
  <si>
    <t xml:space="preserve">이메일 제공 여부</t>
  </si>
  <si>
    <t xml:space="preserve">OCCUPATION_TYPE</t>
  </si>
  <si>
    <t xml:space="preserve">직업군</t>
  </si>
  <si>
    <t xml:space="preserve">CNT_FAM_MEMBERS</t>
  </si>
  <si>
    <t xml:space="preserve">가족 구성원 수</t>
  </si>
  <si>
    <t xml:space="preserve">REGION_RATING_CLIENT</t>
  </si>
  <si>
    <r>
      <rPr>
        <sz val="10"/>
        <rFont val="Noto Sans CJK SC"/>
        <family val="2"/>
      </rPr>
      <t xml:space="preserve">거주 지역 등급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자체 평가</t>
    </r>
    <r>
      <rPr>
        <sz val="10"/>
        <rFont val="Arial"/>
        <family val="0"/>
        <charset val="1"/>
      </rPr>
      <t xml:space="preserve">, 1~3)</t>
    </r>
  </si>
  <si>
    <t xml:space="preserve">REGION_RATING_CLIENT_W_CITY</t>
  </si>
  <si>
    <r>
      <rPr>
        <sz val="10"/>
        <rFont val="Noto Sans CJK SC"/>
        <family val="2"/>
      </rPr>
      <t xml:space="preserve">거주 지역 등급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도시 반영</t>
    </r>
    <r>
      <rPr>
        <sz val="10"/>
        <rFont val="Arial"/>
        <family val="0"/>
        <charset val="1"/>
      </rPr>
      <t xml:space="preserve">, 1~3)</t>
    </r>
  </si>
  <si>
    <t xml:space="preserve">WEEKDAY_APPR_PROCESS_START</t>
  </si>
  <si>
    <t xml:space="preserve">대출 신청 요일</t>
  </si>
  <si>
    <t xml:space="preserve">HOUR_APPR_PROCESS_START</t>
  </si>
  <si>
    <r>
      <rPr>
        <sz val="10"/>
        <rFont val="Noto Sans CJK SC"/>
        <family val="2"/>
      </rPr>
      <t xml:space="preserve">대출 신청 시각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)</t>
    </r>
  </si>
  <si>
    <t xml:space="preserve">REG_REGION_NOT_LIVE_REGION</t>
  </si>
  <si>
    <r>
      <rPr>
        <sz val="10"/>
        <rFont val="Noto Sans CJK SC"/>
        <family val="2"/>
      </rPr>
      <t xml:space="preserve">등록지역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거주지역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</si>
  <si>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REG_REGION_NOT_WORK_REGION</t>
  </si>
  <si>
    <r>
      <rPr>
        <sz val="10"/>
        <rFont val="Noto Sans CJK SC"/>
        <family val="2"/>
      </rPr>
      <t xml:space="preserve">등록지역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근무지역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</si>
  <si>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LIVE_REGION_NOT_WORK_REGION</t>
  </si>
  <si>
    <r>
      <rPr>
        <sz val="10"/>
        <rFont val="Noto Sans CJK SC"/>
        <family val="2"/>
      </rPr>
      <t xml:space="preserve">거주지역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근무지역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</si>
  <si>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REG_CITY_NOT_LIVE_CITY</t>
  </si>
  <si>
    <r>
      <rPr>
        <sz val="10"/>
        <rFont val="Noto Sans CJK SC"/>
        <family val="2"/>
      </rPr>
      <t xml:space="preserve">등록도시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거주도시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</si>
  <si>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REG_CITY_NOT_WORK_CITY</t>
  </si>
  <si>
    <r>
      <rPr>
        <sz val="10"/>
        <rFont val="Noto Sans CJK SC"/>
        <family val="2"/>
      </rPr>
      <t xml:space="preserve">등록도시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근무도시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</si>
  <si>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LIVE_CITY_NOT_WORK_CITY</t>
  </si>
  <si>
    <r>
      <rPr>
        <sz val="10"/>
        <rFont val="Noto Sans CJK SC"/>
        <family val="2"/>
      </rPr>
      <t xml:space="preserve">거주도시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근무도시 불일치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불일치</t>
    </r>
    <r>
      <rPr>
        <sz val="10"/>
        <rFont val="Arial"/>
        <family val="0"/>
        <charset val="1"/>
      </rPr>
      <t xml:space="preserve">)</t>
    </r>
  </si>
  <si>
    <t xml:space="preserve">ORGANIZATION_TYPE</t>
  </si>
  <si>
    <r>
      <rPr>
        <sz val="10"/>
        <rFont val="Noto Sans CJK SC"/>
        <family val="2"/>
      </rPr>
      <t xml:space="preserve">근무처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고용주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업종</t>
    </r>
  </si>
  <si>
    <t xml:space="preserve">EXT_SOURCE_1</t>
  </si>
  <si>
    <r>
      <rPr>
        <sz val="10"/>
        <rFont val="Noto Sans CJK SC"/>
        <family val="2"/>
      </rPr>
      <t xml:space="preserve">외부 데이터 출처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신용평가 정규화 점수</t>
    </r>
  </si>
  <si>
    <t xml:space="preserve">EXT_SOURCE_2</t>
  </si>
  <si>
    <r>
      <rPr>
        <sz val="10"/>
        <rFont val="Noto Sans CJK SC"/>
        <family val="2"/>
      </rPr>
      <t xml:space="preserve">외부 데이터 출처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신용평가 정규화 점수</t>
    </r>
  </si>
  <si>
    <t xml:space="preserve">EXT_SOURCE_3</t>
  </si>
  <si>
    <r>
      <rPr>
        <sz val="10"/>
        <rFont val="Noto Sans CJK SC"/>
        <family val="2"/>
      </rPr>
      <t xml:space="preserve">외부 데이터 출처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신용평가 정규화 점수</t>
    </r>
  </si>
  <si>
    <t xml:space="preserve">APARTMENTS_AVG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</si>
  <si>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아파트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</si>
  <si>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BASEMENTAREA_AVG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</si>
  <si>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지하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</si>
  <si>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YEARS_BEGINEXPLUATATION_AVG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</si>
  <si>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건물 사용승인 후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</si>
  <si>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YEARS_BUILD_AVG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</si>
  <si>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건축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</si>
  <si>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COMMONAREA_AVG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</si>
  <si>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공용면적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</si>
  <si>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ELEVATORS_AVG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</si>
  <si>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엘리베이터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</si>
  <si>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ENTRANCES_AVG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</si>
  <si>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출입구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</si>
  <si>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FLOORSMAX_AVG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</si>
  <si>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최대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</si>
  <si>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FLOORSMIN_AVG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</si>
  <si>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최소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</si>
  <si>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LANDAREA_AVG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</si>
  <si>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대지면적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</si>
  <si>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LIVINGAPARTMENTS_AVG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</si>
  <si>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</si>
  <si>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LIVINGAREA_AVG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</si>
  <si>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</si>
  <si>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NONLIVINGAPARTMENTS_AVG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</si>
  <si>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</si>
  <si>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NONLIVINGAREA_AVG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</si>
  <si>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</si>
  <si>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APARTMENTS_MODE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</si>
  <si>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아파트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</si>
  <si>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BASEMENTAREA_MODE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</si>
  <si>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지하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</si>
  <si>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YEARS_BEGINEXPLUATATION_MODE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</si>
  <si>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건물 사용승인 후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</si>
  <si>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YEARS_BUILD_MODE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</si>
  <si>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건축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</si>
  <si>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COMMONAREA_MODE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</si>
  <si>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공용면적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</si>
  <si>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ELEVATORS_MODE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</si>
  <si>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엘리베이터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</si>
  <si>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ENTRANCES_MODE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</si>
  <si>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출입구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</si>
  <si>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FLOORSMAX_MODE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</si>
  <si>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최대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</si>
  <si>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FLOORSMIN_MODE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</si>
  <si>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최소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</si>
  <si>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LANDAREA_MODE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</si>
  <si>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대지면적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</si>
  <si>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LIVINGAPARTMENTS_MODE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</si>
  <si>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</si>
  <si>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LIVINGAREA_MODE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</si>
  <si>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</si>
  <si>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NONLIVINGAPARTMENTS_MODE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</si>
  <si>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</si>
  <si>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NONLIVINGAREA_MODE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</si>
  <si>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</si>
  <si>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APARTMENTS_MEDI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</si>
  <si>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아파트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</si>
  <si>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BASEMENTAREA_MEDI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</si>
  <si>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지하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</si>
  <si>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YEARS_BEGINEXPLUATATION_MEDI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</si>
  <si>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건물 사용승인 후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</si>
  <si>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YEARS_BUILD_MEDI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</si>
  <si>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건축 경과연수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</si>
  <si>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COMMONAREA_MEDI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</si>
  <si>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공용면적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</si>
  <si>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ELEVATORS_MEDI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</si>
  <si>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엘리베이터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</si>
  <si>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ENTRANCES_MEDI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</si>
  <si>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출입구 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</si>
  <si>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FLOORSMAX_MEDI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</si>
  <si>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최대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</si>
  <si>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FLOORSMIN_MEDI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</si>
  <si>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최소 층수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</si>
  <si>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LANDAREA_MEDI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</si>
  <si>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대지면적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</si>
  <si>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LIVINGAPARTMENTS_MEDI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</si>
  <si>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</si>
  <si>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LIVINGAREA_MEDI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</si>
  <si>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</si>
  <si>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NONLIVINGAPARTMENTS_MEDI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</si>
  <si>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비거주공간 호수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</si>
  <si>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NONLIVINGAREA_MEDI</t>
  </si>
  <si>
    <r>
      <rPr>
        <sz val="10"/>
        <rFont val="Noto Sans CJK SC"/>
        <family val="2"/>
      </rPr>
      <t xml:space="preserve">거주 건물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비거주면적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)</t>
    </r>
  </si>
  <si>
    <t xml:space="preserve">FONDKAPREMONT_MODE</t>
  </si>
  <si>
    <r>
      <rPr>
        <sz val="10"/>
        <rFont val="Noto Sans CJK SC"/>
        <family val="2"/>
      </rPr>
      <t xml:space="preserve">주택 적립기금 유형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)</t>
    </r>
  </si>
  <si>
    <t xml:space="preserve">HOUSETYPE_MODE</t>
  </si>
  <si>
    <r>
      <rPr>
        <sz val="10"/>
        <rFont val="Noto Sans CJK SC"/>
        <family val="2"/>
      </rPr>
      <t xml:space="preserve">주택 유형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)</t>
    </r>
  </si>
  <si>
    <t xml:space="preserve">TOTALAREA_MODE</t>
  </si>
  <si>
    <r>
      <rPr>
        <sz val="10"/>
        <rFont val="Noto Sans CJK SC"/>
        <family val="2"/>
      </rPr>
      <t xml:space="preserve">전체 면적 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)</t>
    </r>
  </si>
  <si>
    <t xml:space="preserve">WALLSMATERIAL_MODE</t>
  </si>
  <si>
    <r>
      <rPr>
        <sz val="10"/>
        <rFont val="Noto Sans CJK SC"/>
        <family val="2"/>
      </rPr>
      <t xml:space="preserve">건물 외벽 재질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)</t>
    </r>
  </si>
  <si>
    <t xml:space="preserve">EMERGENCYSTATE_MODE</t>
  </si>
  <si>
    <r>
      <rPr>
        <sz val="10"/>
        <rFont val="Noto Sans CJK SC"/>
        <family val="2"/>
      </rPr>
      <t xml:space="preserve">비상사태 대응 가능 여부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최빈값</t>
    </r>
    <r>
      <rPr>
        <sz val="10"/>
        <rFont val="Arial"/>
        <family val="0"/>
        <charset val="1"/>
      </rPr>
      <t xml:space="preserve">)</t>
    </r>
  </si>
  <si>
    <t xml:space="preserve">OBS_30_CNT_SOCIAL_CIRCLE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</si>
  <si>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연체 관측된 지인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사회적 관계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수</t>
    </r>
  </si>
  <si>
    <t xml:space="preserve">DEF_30_CNT_SOCIAL_CIRCLE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</si>
  <si>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연체 발생</t>
    </r>
    <r>
      <rPr>
        <sz val="10"/>
        <rFont val="Arial"/>
        <family val="0"/>
        <charset val="1"/>
      </rPr>
      <t xml:space="preserve">(Default)</t>
    </r>
    <r>
      <rPr>
        <sz val="10"/>
        <rFont val="Noto Sans CJK SC"/>
        <family val="2"/>
      </rPr>
      <t xml:space="preserve">한 지인 수</t>
    </r>
  </si>
  <si>
    <t xml:space="preserve">OBS_60_CNT_SOCIAL_CIRCLE</t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</si>
  <si>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 연체 관측된 지인 수</t>
    </r>
  </si>
  <si>
    <t xml:space="preserve">DEF_60_CNT_SOCIAL_CIRCLE</t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</si>
  <si>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 연체 발생</t>
    </r>
    <r>
      <rPr>
        <sz val="10"/>
        <rFont val="Arial"/>
        <family val="0"/>
        <charset val="1"/>
      </rPr>
      <t xml:space="preserve">(Default)</t>
    </r>
    <r>
      <rPr>
        <sz val="10"/>
        <rFont val="Noto Sans CJK SC"/>
        <family val="2"/>
      </rPr>
      <t xml:space="preserve">한 지인 수</t>
    </r>
  </si>
  <si>
    <t xml:space="preserve">DAYS_LAST_PHONE_CHANGE</t>
  </si>
  <si>
    <t xml:space="preserve">마지막 휴대폰 변경 후 경과일수</t>
  </si>
  <si>
    <t xml:space="preserve">FLAG_DOCUMENT_2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</si>
  <si>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</si>
  <si>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FLAG_DOCUMENT_3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</si>
  <si>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</si>
  <si>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FLAG_DOCUMENT_4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</si>
  <si>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</si>
  <si>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FLAG_DOCUMENT_5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</si>
  <si>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</si>
  <si>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FLAG_DOCUMENT_6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</si>
  <si>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</si>
  <si>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FLAG_DOCUMENT_7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</si>
  <si>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</si>
  <si>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FLAG_DOCUMENT_8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</si>
  <si>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</si>
  <si>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FLAG_DOCUMENT_9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</si>
  <si>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</si>
  <si>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FLAG_DOCUMENT_10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</si>
  <si>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</si>
  <si>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FLAG_DOCUMENT_11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</si>
  <si>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</si>
  <si>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FLAG_DOCUMENT_12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</si>
  <si>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</si>
  <si>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FLAG_DOCUMENT_13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</si>
  <si>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</si>
  <si>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FLAG_DOCUMENT_14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</si>
  <si>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</si>
  <si>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FLAG_DOCUMENT_15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</si>
  <si>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</si>
  <si>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FLAG_DOCUMENT_16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</si>
  <si>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</si>
  <si>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FLAG_DOCUMENT_17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</si>
  <si>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</si>
  <si>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FLAG_DOCUMENT_18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</si>
  <si>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</si>
  <si>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FLAG_DOCUMENT_19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</si>
  <si>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</si>
  <si>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FLAG_DOCUMENT_20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</si>
  <si>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</si>
  <si>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FLAG_DOCUMENT_21</t>
  </si>
  <si>
    <r>
      <rPr>
        <sz val="10"/>
        <rFont val="Noto Sans CJK SC"/>
        <family val="2"/>
      </rPr>
      <t xml:space="preserve">서류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번 제출 여부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)</t>
    </r>
  </si>
  <si>
    <t xml:space="preserve">AMT_REQ_CREDIT_BUREAU_HOUR</t>
  </si>
  <si>
    <r>
      <rPr>
        <sz val="10"/>
        <rFont val="Noto Sans CJK SC"/>
        <family val="2"/>
      </rPr>
      <t xml:space="preserve">대출 신청 전 시간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</si>
  <si>
    <t xml:space="preserve">AMT_REQ_CREDIT_BUREAU_DAY</t>
  </si>
  <si>
    <r>
      <rPr>
        <sz val="10"/>
        <rFont val="Noto Sans CJK SC"/>
        <family val="2"/>
      </rPr>
      <t xml:space="preserve">대출 신청 전 일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</si>
  <si>
    <t xml:space="preserve">AMT_REQ_CREDIT_BUREAU_WEEK</t>
  </si>
  <si>
    <r>
      <rPr>
        <sz val="10"/>
        <rFont val="Noto Sans CJK SC"/>
        <family val="2"/>
      </rPr>
      <t xml:space="preserve">대출 신청 전 주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</si>
  <si>
    <t xml:space="preserve">AMT_REQ_CREDIT_BUREAU_MON</t>
  </si>
  <si>
    <r>
      <rPr>
        <sz val="10"/>
        <rFont val="Noto Sans CJK SC"/>
        <family val="2"/>
      </rPr>
      <t xml:space="preserve">대출 신청 전 월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</si>
  <si>
    <t xml:space="preserve">AMT_REQ_CREDIT_BUREAU_QRT</t>
  </si>
  <si>
    <r>
      <rPr>
        <sz val="10"/>
        <rFont val="Noto Sans CJK SC"/>
        <family val="2"/>
      </rPr>
      <t xml:space="preserve">대출 신청 전 분기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</si>
  <si>
    <t xml:space="preserve">AMT_REQ_CREDIT_BUREAU_YEAR</t>
  </si>
  <si>
    <r>
      <rPr>
        <sz val="10"/>
        <rFont val="Noto Sans CJK SC"/>
        <family val="2"/>
      </rPr>
      <t xml:space="preserve">대출 신청 전 년 단위 신용정보원</t>
    </r>
    <r>
      <rPr>
        <sz val="10"/>
        <rFont val="Arial"/>
        <family val="0"/>
        <charset val="1"/>
      </rPr>
      <t xml:space="preserve">(Credit Bureau) </t>
    </r>
    <r>
      <rPr>
        <sz val="10"/>
        <rFont val="Noto Sans CJK SC"/>
        <family val="2"/>
      </rPr>
      <t xml:space="preserve">조회 건수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</si>
</sst>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4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</row>
    <row r="6" customFormat="false" ht="15" hidden="false" customHeight="false" outlineLevel="0" collapsed="false">
      <c r="A6" s="2" t="s">
        <v>7</v>
      </c>
      <c r="B6" s="3" t="n">
        <v>122</v>
      </c>
      <c r="C6" s="3"/>
      <c r="D6" s="3"/>
    </row>
    <row r="7" customFormat="false" ht="15" hidden="false" customHeight="false" outlineLevel="0" collapsed="false">
      <c r="A7" s="2" t="s">
        <v>8</v>
      </c>
      <c r="B7" s="3" t="n">
        <v>307511</v>
      </c>
      <c r="C7" s="3"/>
      <c r="D7" s="3"/>
    </row>
    <row r="8" customFormat="false" ht="15" hidden="false" customHeight="false" outlineLevel="0" collapsed="false">
      <c r="A8" s="2" t="s">
        <v>9</v>
      </c>
      <c r="B8" s="3" t="s">
        <v>10</v>
      </c>
      <c r="C8" s="3"/>
      <c r="D8" s="3"/>
    </row>
    <row r="9" customFormat="false" ht="15" hidden="false" customHeight="false" outlineLevel="0" collapsed="false">
      <c r="A9" s="2" t="s">
        <v>11</v>
      </c>
      <c r="B9" s="4" t="s">
        <v>12</v>
      </c>
      <c r="C9" s="4"/>
      <c r="D9" s="4"/>
    </row>
    <row r="11" customFormat="false" ht="30" hidden="false" customHeight="true" outlineLevel="0" collapsed="false">
      <c r="A11" s="5" t="s">
        <v>13</v>
      </c>
      <c r="B11" s="6" t="s">
        <v>14</v>
      </c>
      <c r="C11" s="6" t="s">
        <v>15</v>
      </c>
      <c r="D11" s="5" t="s">
        <v>16</v>
      </c>
      <c r="E11" s="5" t="s">
        <v>17</v>
      </c>
      <c r="F11" s="6" t="s">
        <v>18</v>
      </c>
      <c r="G11" s="6" t="s">
        <v>19</v>
      </c>
      <c r="H11" s="6" t="s">
        <v>20</v>
      </c>
    </row>
    <row r="12" customFormat="false" ht="15.75" hidden="false" customHeight="true" outlineLevel="0" collapsed="false">
      <c r="A12" s="7" t="n">
        <v>1</v>
      </c>
      <c r="B12" s="8" t="s">
        <v>21</v>
      </c>
      <c r="C12" s="7" t="s">
        <v>22</v>
      </c>
      <c r="D12" s="7" t="s">
        <v>23</v>
      </c>
      <c r="E12" s="7" t="s">
        <v>24</v>
      </c>
      <c r="F12" s="9" t="n">
        <v>0</v>
      </c>
      <c r="G12" s="10" t="n">
        <f aca="false">F12/$B$7</f>
        <v>0</v>
      </c>
      <c r="H12" s="11" t="s">
        <v>25</v>
      </c>
    </row>
    <row r="13" customFormat="false" ht="15.75" hidden="false" customHeight="true" outlineLevel="0" collapsed="false">
      <c r="A13" s="12" t="n">
        <v>2</v>
      </c>
      <c r="B13" s="13" t="s">
        <v>26</v>
      </c>
      <c r="C13" s="12" t="s">
        <v>22</v>
      </c>
      <c r="D13" s="12" t="s">
        <v>23</v>
      </c>
      <c r="E13" s="12"/>
      <c r="F13" s="14" t="n">
        <v>0</v>
      </c>
      <c r="G13" s="15" t="n">
        <f aca="false">F13/$B$7</f>
        <v>0</v>
      </c>
      <c r="H13" s="16" t="s">
        <v>27</v>
      </c>
    </row>
    <row r="14" customFormat="false" ht="15.75" hidden="false" customHeight="true" outlineLevel="0" collapsed="false">
      <c r="A14" s="12" t="n">
        <v>3</v>
      </c>
      <c r="B14" s="13" t="s">
        <v>28</v>
      </c>
      <c r="C14" s="12" t="s">
        <v>29</v>
      </c>
      <c r="D14" s="12" t="s">
        <v>23</v>
      </c>
      <c r="E14" s="12"/>
      <c r="F14" s="14" t="n">
        <v>0</v>
      </c>
      <c r="G14" s="15" t="n">
        <f aca="false">F14/$B$7</f>
        <v>0</v>
      </c>
      <c r="H14" s="16" t="s">
        <v>30</v>
      </c>
    </row>
    <row r="15" customFormat="false" ht="15.75" hidden="false" customHeight="true" outlineLevel="0" collapsed="false">
      <c r="A15" s="12" t="n">
        <v>4</v>
      </c>
      <c r="B15" s="13" t="s">
        <v>31</v>
      </c>
      <c r="C15" s="12" t="s">
        <v>29</v>
      </c>
      <c r="D15" s="12" t="s">
        <v>23</v>
      </c>
      <c r="E15" s="12"/>
      <c r="F15" s="14" t="n">
        <v>0</v>
      </c>
      <c r="G15" s="15" t="n">
        <f aca="false">F15/$B$7</f>
        <v>0</v>
      </c>
      <c r="H15" s="16" t="s">
        <v>32</v>
      </c>
    </row>
    <row r="16" customFormat="false" ht="15.75" hidden="false" customHeight="true" outlineLevel="0" collapsed="false">
      <c r="A16" s="12" t="n">
        <v>5</v>
      </c>
      <c r="B16" s="13" t="s">
        <v>33</v>
      </c>
      <c r="C16" s="12" t="s">
        <v>29</v>
      </c>
      <c r="D16" s="12" t="s">
        <v>23</v>
      </c>
      <c r="E16" s="12"/>
      <c r="F16" s="14" t="n">
        <v>0</v>
      </c>
      <c r="G16" s="15" t="n">
        <f aca="false">F16/$B$7</f>
        <v>0</v>
      </c>
      <c r="H16" s="16" t="s">
        <v>34</v>
      </c>
    </row>
    <row r="17" customFormat="false" ht="15.75" hidden="false" customHeight="true" outlineLevel="0" collapsed="false">
      <c r="A17" s="12" t="n">
        <v>6</v>
      </c>
      <c r="B17" s="13" t="s">
        <v>35</v>
      </c>
      <c r="C17" s="12" t="s">
        <v>29</v>
      </c>
      <c r="D17" s="12" t="s">
        <v>23</v>
      </c>
      <c r="E17" s="12"/>
      <c r="F17" s="14" t="n">
        <v>0</v>
      </c>
      <c r="G17" s="15" t="n">
        <f aca="false">F17/$B$7</f>
        <v>0</v>
      </c>
      <c r="H17" s="16" t="s">
        <v>36</v>
      </c>
    </row>
    <row r="18" customFormat="false" ht="15.75" hidden="false" customHeight="true" outlineLevel="0" collapsed="false">
      <c r="A18" s="12" t="n">
        <v>7</v>
      </c>
      <c r="B18" s="13" t="s">
        <v>37</v>
      </c>
      <c r="C18" s="12" t="s">
        <v>22</v>
      </c>
      <c r="D18" s="12" t="s">
        <v>23</v>
      </c>
      <c r="E18" s="12"/>
      <c r="F18" s="14" t="n">
        <v>0</v>
      </c>
      <c r="G18" s="15" t="n">
        <f aca="false">F18/$B$7</f>
        <v>0</v>
      </c>
      <c r="H18" s="16" t="s">
        <v>38</v>
      </c>
    </row>
    <row r="19" customFormat="false" ht="15.75" hidden="false" customHeight="true" outlineLevel="0" collapsed="false">
      <c r="A19" s="12" t="n">
        <v>8</v>
      </c>
      <c r="B19" s="13" t="s">
        <v>39</v>
      </c>
      <c r="C19" s="12" t="s">
        <v>40</v>
      </c>
      <c r="D19" s="12" t="s">
        <v>23</v>
      </c>
      <c r="E19" s="12"/>
      <c r="F19" s="14" t="n">
        <v>0</v>
      </c>
      <c r="G19" s="15" t="n">
        <f aca="false">F19/$B$7</f>
        <v>0</v>
      </c>
      <c r="H19" s="16" t="s">
        <v>41</v>
      </c>
    </row>
    <row r="20" customFormat="false" ht="15.75" hidden="false" customHeight="true" outlineLevel="0" collapsed="false">
      <c r="A20" s="12" t="n">
        <v>9</v>
      </c>
      <c r="B20" s="13" t="s">
        <v>42</v>
      </c>
      <c r="C20" s="12" t="s">
        <v>40</v>
      </c>
      <c r="D20" s="12" t="s">
        <v>23</v>
      </c>
      <c r="E20" s="12"/>
      <c r="F20" s="14" t="n">
        <v>0</v>
      </c>
      <c r="G20" s="15" t="n">
        <f aca="false">F20/$B$7</f>
        <v>0</v>
      </c>
      <c r="H20" s="16" t="s">
        <v>43</v>
      </c>
    </row>
    <row r="21" customFormat="false" ht="15.75" hidden="false" customHeight="true" outlineLevel="0" collapsed="false">
      <c r="A21" s="12" t="n">
        <v>10</v>
      </c>
      <c r="B21" s="13" t="s">
        <v>44</v>
      </c>
      <c r="C21" s="12" t="s">
        <v>40</v>
      </c>
      <c r="D21" s="12" t="s">
        <v>45</v>
      </c>
      <c r="E21" s="12"/>
      <c r="F21" s="14" t="n">
        <v>12</v>
      </c>
      <c r="G21" s="15" t="n">
        <f aca="false">F21/$B$7</f>
        <v>3.90229942993909E-005</v>
      </c>
      <c r="H21" s="16" t="s">
        <v>46</v>
      </c>
    </row>
    <row r="22" customFormat="false" ht="15.75" hidden="false" customHeight="true" outlineLevel="0" collapsed="false">
      <c r="A22" s="12" t="n">
        <v>11</v>
      </c>
      <c r="B22" s="13" t="s">
        <v>47</v>
      </c>
      <c r="C22" s="12" t="s">
        <v>40</v>
      </c>
      <c r="D22" s="12" t="s">
        <v>45</v>
      </c>
      <c r="E22" s="12"/>
      <c r="F22" s="14" t="n">
        <v>278</v>
      </c>
      <c r="G22" s="15" t="n">
        <f aca="false">F22/$B$7</f>
        <v>0.000904032701269223</v>
      </c>
      <c r="H22" s="16" t="s">
        <v>48</v>
      </c>
    </row>
    <row r="23" customFormat="false" ht="15.75" hidden="false" customHeight="true" outlineLevel="0" collapsed="false">
      <c r="A23" s="12" t="n">
        <v>12</v>
      </c>
      <c r="B23" s="13" t="s">
        <v>49</v>
      </c>
      <c r="C23" s="12" t="s">
        <v>29</v>
      </c>
      <c r="D23" s="12" t="s">
        <v>45</v>
      </c>
      <c r="E23" s="12"/>
      <c r="F23" s="14" t="n">
        <v>1292</v>
      </c>
      <c r="G23" s="15" t="n">
        <f aca="false">F23/$B$7</f>
        <v>0.00420147571956776</v>
      </c>
      <c r="H23" s="16" t="s">
        <v>50</v>
      </c>
    </row>
    <row r="24" customFormat="false" ht="15.75" hidden="false" customHeight="true" outlineLevel="0" collapsed="false">
      <c r="A24" s="12" t="n">
        <v>13</v>
      </c>
      <c r="B24" s="13" t="s">
        <v>51</v>
      </c>
      <c r="C24" s="12" t="s">
        <v>29</v>
      </c>
      <c r="D24" s="12" t="s">
        <v>23</v>
      </c>
      <c r="E24" s="12"/>
      <c r="F24" s="14" t="n">
        <v>0</v>
      </c>
      <c r="G24" s="15" t="n">
        <f aca="false">F24/$B$7</f>
        <v>0</v>
      </c>
      <c r="H24" s="16" t="s">
        <v>52</v>
      </c>
    </row>
    <row r="25" customFormat="false" ht="15.75" hidden="false" customHeight="true" outlineLevel="0" collapsed="false">
      <c r="A25" s="12" t="n">
        <v>14</v>
      </c>
      <c r="B25" s="13" t="s">
        <v>53</v>
      </c>
      <c r="C25" s="12" t="s">
        <v>29</v>
      </c>
      <c r="D25" s="12" t="s">
        <v>23</v>
      </c>
      <c r="E25" s="12"/>
      <c r="F25" s="14" t="n">
        <v>0</v>
      </c>
      <c r="G25" s="15" t="n">
        <f aca="false">F25/$B$7</f>
        <v>0</v>
      </c>
      <c r="H25" s="16" t="s">
        <v>54</v>
      </c>
    </row>
    <row r="26" customFormat="false" ht="15.75" hidden="false" customHeight="true" outlineLevel="0" collapsed="false">
      <c r="A26" s="12" t="n">
        <v>15</v>
      </c>
      <c r="B26" s="13" t="s">
        <v>55</v>
      </c>
      <c r="C26" s="12" t="s">
        <v>29</v>
      </c>
      <c r="D26" s="12" t="s">
        <v>23</v>
      </c>
      <c r="E26" s="12"/>
      <c r="F26" s="14" t="n">
        <v>0</v>
      </c>
      <c r="G26" s="15" t="n">
        <f aca="false">F26/$B$7</f>
        <v>0</v>
      </c>
      <c r="H26" s="16" t="s">
        <v>56</v>
      </c>
    </row>
    <row r="27" customFormat="false" ht="15.75" hidden="false" customHeight="true" outlineLevel="0" collapsed="false">
      <c r="A27" s="12" t="n">
        <v>16</v>
      </c>
      <c r="B27" s="13" t="s">
        <v>57</v>
      </c>
      <c r="C27" s="12" t="s">
        <v>29</v>
      </c>
      <c r="D27" s="12" t="s">
        <v>23</v>
      </c>
      <c r="E27" s="12"/>
      <c r="F27" s="14" t="n">
        <v>0</v>
      </c>
      <c r="G27" s="15" t="n">
        <f aca="false">F27/$B$7</f>
        <v>0</v>
      </c>
      <c r="H27" s="16" t="s">
        <v>58</v>
      </c>
    </row>
    <row r="28" customFormat="false" ht="15.75" hidden="false" customHeight="true" outlineLevel="0" collapsed="false">
      <c r="A28" s="12" t="n">
        <v>17</v>
      </c>
      <c r="B28" s="13" t="s">
        <v>59</v>
      </c>
      <c r="C28" s="12" t="s">
        <v>40</v>
      </c>
      <c r="D28" s="12" t="s">
        <v>23</v>
      </c>
      <c r="E28" s="12"/>
      <c r="F28" s="14" t="n">
        <v>0</v>
      </c>
      <c r="G28" s="15" t="n">
        <f aca="false">F28/$B$7</f>
        <v>0</v>
      </c>
      <c r="H28" s="16" t="s">
        <v>60</v>
      </c>
    </row>
    <row r="29" customFormat="false" ht="15.75" hidden="false" customHeight="true" outlineLevel="0" collapsed="false">
      <c r="A29" s="12" t="n">
        <v>18</v>
      </c>
      <c r="B29" s="13" t="s">
        <v>61</v>
      </c>
      <c r="C29" s="12" t="s">
        <v>22</v>
      </c>
      <c r="D29" s="12" t="s">
        <v>23</v>
      </c>
      <c r="E29" s="12"/>
      <c r="F29" s="14" t="n">
        <v>0</v>
      </c>
      <c r="G29" s="15" t="n">
        <f aca="false">F29/$B$7</f>
        <v>0</v>
      </c>
      <c r="H29" s="16" t="s">
        <v>62</v>
      </c>
    </row>
    <row r="30" customFormat="false" ht="15.75" hidden="false" customHeight="true" outlineLevel="0" collapsed="false">
      <c r="A30" s="12" t="n">
        <v>19</v>
      </c>
      <c r="B30" s="13" t="s">
        <v>63</v>
      </c>
      <c r="C30" s="12" t="s">
        <v>22</v>
      </c>
      <c r="D30" s="12" t="s">
        <v>23</v>
      </c>
      <c r="E30" s="12"/>
      <c r="F30" s="14" t="n">
        <v>0</v>
      </c>
      <c r="G30" s="15" t="n">
        <f aca="false">F30/$B$7</f>
        <v>0</v>
      </c>
      <c r="H30" s="16" t="s">
        <v>64</v>
      </c>
    </row>
    <row r="31" customFormat="false" ht="15.75" hidden="false" customHeight="true" outlineLevel="0" collapsed="false">
      <c r="A31" s="12" t="n">
        <v>20</v>
      </c>
      <c r="B31" s="13" t="s">
        <v>65</v>
      </c>
      <c r="C31" s="12" t="s">
        <v>40</v>
      </c>
      <c r="D31" s="12" t="s">
        <v>23</v>
      </c>
      <c r="E31" s="12"/>
      <c r="F31" s="14" t="n">
        <v>0</v>
      </c>
      <c r="G31" s="15" t="n">
        <f aca="false">F31/$B$7</f>
        <v>0</v>
      </c>
      <c r="H31" s="16" t="s">
        <v>66</v>
      </c>
    </row>
    <row r="32" customFormat="false" ht="15.75" hidden="false" customHeight="true" outlineLevel="0" collapsed="false">
      <c r="A32" s="12" t="n">
        <v>21</v>
      </c>
      <c r="B32" s="13" t="s">
        <v>67</v>
      </c>
      <c r="C32" s="12" t="s">
        <v>22</v>
      </c>
      <c r="D32" s="12" t="s">
        <v>23</v>
      </c>
      <c r="E32" s="12"/>
      <c r="F32" s="14" t="n">
        <v>0</v>
      </c>
      <c r="G32" s="15" t="n">
        <f aca="false">F32/$B$7</f>
        <v>0</v>
      </c>
      <c r="H32" s="16" t="s">
        <v>68</v>
      </c>
    </row>
    <row r="33" customFormat="false" ht="15.75" hidden="false" customHeight="true" outlineLevel="0" collapsed="false">
      <c r="A33" s="12" t="n">
        <v>22</v>
      </c>
      <c r="B33" s="13" t="s">
        <v>69</v>
      </c>
      <c r="C33" s="12" t="s">
        <v>40</v>
      </c>
      <c r="D33" s="12" t="s">
        <v>45</v>
      </c>
      <c r="E33" s="12"/>
      <c r="F33" s="14" t="n">
        <v>202929</v>
      </c>
      <c r="G33" s="15" t="n">
        <f aca="false">F33/$B$7</f>
        <v>0.659908100848425</v>
      </c>
      <c r="H33" s="16" t="s">
        <v>70</v>
      </c>
    </row>
    <row r="34" customFormat="false" ht="15.75" hidden="false" customHeight="true" outlineLevel="0" collapsed="false">
      <c r="A34" s="12" t="n">
        <v>23</v>
      </c>
      <c r="B34" s="13" t="s">
        <v>71</v>
      </c>
      <c r="C34" s="12" t="s">
        <v>22</v>
      </c>
      <c r="D34" s="12" t="s">
        <v>23</v>
      </c>
      <c r="E34" s="12"/>
      <c r="F34" s="14" t="n">
        <v>0</v>
      </c>
      <c r="G34" s="15" t="n">
        <f aca="false">F34/$B$7</f>
        <v>0</v>
      </c>
      <c r="H34" s="16" t="s">
        <v>72</v>
      </c>
    </row>
    <row r="35" customFormat="false" ht="15.75" hidden="false" customHeight="true" outlineLevel="0" collapsed="false">
      <c r="A35" s="12" t="n">
        <v>24</v>
      </c>
      <c r="B35" s="13" t="s">
        <v>73</v>
      </c>
      <c r="C35" s="12" t="s">
        <v>22</v>
      </c>
      <c r="D35" s="12" t="s">
        <v>23</v>
      </c>
      <c r="E35" s="12"/>
      <c r="F35" s="14" t="n">
        <v>0</v>
      </c>
      <c r="G35" s="15" t="n">
        <f aca="false">F35/$B$7</f>
        <v>0</v>
      </c>
      <c r="H35" s="16" t="s">
        <v>74</v>
      </c>
    </row>
    <row r="36" customFormat="false" ht="15.75" hidden="false" customHeight="true" outlineLevel="0" collapsed="false">
      <c r="A36" s="12" t="n">
        <v>25</v>
      </c>
      <c r="B36" s="13" t="s">
        <v>75</v>
      </c>
      <c r="C36" s="12" t="s">
        <v>22</v>
      </c>
      <c r="D36" s="12" t="s">
        <v>23</v>
      </c>
      <c r="E36" s="12"/>
      <c r="F36" s="14" t="n">
        <v>0</v>
      </c>
      <c r="G36" s="15" t="n">
        <f aca="false">F36/$B$7</f>
        <v>0</v>
      </c>
      <c r="H36" s="16" t="s">
        <v>76</v>
      </c>
    </row>
    <row r="37" customFormat="false" ht="15.75" hidden="false" customHeight="true" outlineLevel="0" collapsed="false">
      <c r="A37" s="12" t="n">
        <v>26</v>
      </c>
      <c r="B37" s="13" t="s">
        <v>77</v>
      </c>
      <c r="C37" s="12" t="s">
        <v>22</v>
      </c>
      <c r="D37" s="12" t="s">
        <v>23</v>
      </c>
      <c r="E37" s="12"/>
      <c r="F37" s="14" t="n">
        <v>0</v>
      </c>
      <c r="G37" s="15" t="n">
        <f aca="false">F37/$B$7</f>
        <v>0</v>
      </c>
      <c r="H37" s="16" t="s">
        <v>78</v>
      </c>
    </row>
    <row r="38" customFormat="false" ht="15.75" hidden="false" customHeight="true" outlineLevel="0" collapsed="false">
      <c r="A38" s="12" t="n">
        <v>27</v>
      </c>
      <c r="B38" s="13" t="s">
        <v>79</v>
      </c>
      <c r="C38" s="12" t="s">
        <v>22</v>
      </c>
      <c r="D38" s="12" t="s">
        <v>23</v>
      </c>
      <c r="E38" s="12"/>
      <c r="F38" s="14" t="n">
        <v>0</v>
      </c>
      <c r="G38" s="15" t="n">
        <f aca="false">F38/$B$7</f>
        <v>0</v>
      </c>
      <c r="H38" s="16" t="s">
        <v>80</v>
      </c>
    </row>
    <row r="39" customFormat="false" ht="15.75" hidden="false" customHeight="true" outlineLevel="0" collapsed="false">
      <c r="A39" s="12" t="n">
        <v>28</v>
      </c>
      <c r="B39" s="13" t="s">
        <v>81</v>
      </c>
      <c r="C39" s="12" t="s">
        <v>22</v>
      </c>
      <c r="D39" s="12" t="s">
        <v>23</v>
      </c>
      <c r="E39" s="12"/>
      <c r="F39" s="14" t="n">
        <v>0</v>
      </c>
      <c r="G39" s="15" t="n">
        <f aca="false">F39/$B$7</f>
        <v>0</v>
      </c>
      <c r="H39" s="16" t="s">
        <v>82</v>
      </c>
    </row>
    <row r="40" customFormat="false" ht="15.75" hidden="false" customHeight="true" outlineLevel="0" collapsed="false">
      <c r="A40" s="12" t="n">
        <v>29</v>
      </c>
      <c r="B40" s="13" t="s">
        <v>83</v>
      </c>
      <c r="C40" s="12" t="s">
        <v>29</v>
      </c>
      <c r="D40" s="12" t="s">
        <v>45</v>
      </c>
      <c r="E40" s="12"/>
      <c r="F40" s="14" t="n">
        <v>96391</v>
      </c>
      <c r="G40" s="15" t="n">
        <f aca="false">F40/$B$7</f>
        <v>0.313455453626049</v>
      </c>
      <c r="H40" s="16" t="s">
        <v>84</v>
      </c>
    </row>
    <row r="41" customFormat="false" ht="15.75" hidden="false" customHeight="true" outlineLevel="0" collapsed="false">
      <c r="A41" s="12" t="n">
        <v>30</v>
      </c>
      <c r="B41" s="13" t="s">
        <v>85</v>
      </c>
      <c r="C41" s="12" t="s">
        <v>40</v>
      </c>
      <c r="D41" s="12" t="s">
        <v>45</v>
      </c>
      <c r="E41" s="12"/>
      <c r="F41" s="14" t="n">
        <v>2</v>
      </c>
      <c r="G41" s="15" t="n">
        <f aca="false">F41/$B$7</f>
        <v>6.50383238323182E-006</v>
      </c>
      <c r="H41" s="16" t="s">
        <v>86</v>
      </c>
    </row>
    <row r="42" customFormat="false" ht="15.75" hidden="false" customHeight="true" outlineLevel="0" collapsed="false">
      <c r="A42" s="12" t="n">
        <v>31</v>
      </c>
      <c r="B42" s="13" t="s">
        <v>87</v>
      </c>
      <c r="C42" s="12" t="s">
        <v>22</v>
      </c>
      <c r="D42" s="12" t="s">
        <v>23</v>
      </c>
      <c r="E42" s="12"/>
      <c r="F42" s="14" t="n">
        <v>0</v>
      </c>
      <c r="G42" s="15" t="n">
        <f aca="false">F42/$B$7</f>
        <v>0</v>
      </c>
      <c r="H42" s="16" t="s">
        <v>88</v>
      </c>
    </row>
    <row r="43" customFormat="false" ht="15.75" hidden="false" customHeight="true" outlineLevel="0" collapsed="false">
      <c r="A43" s="12" t="n">
        <v>32</v>
      </c>
      <c r="B43" s="13" t="s">
        <v>89</v>
      </c>
      <c r="C43" s="12" t="s">
        <v>22</v>
      </c>
      <c r="D43" s="12" t="s">
        <v>23</v>
      </c>
      <c r="E43" s="12"/>
      <c r="F43" s="14" t="n">
        <v>0</v>
      </c>
      <c r="G43" s="15" t="n">
        <f aca="false">F43/$B$7</f>
        <v>0</v>
      </c>
      <c r="H43" s="16" t="s">
        <v>90</v>
      </c>
    </row>
    <row r="44" customFormat="false" ht="15.75" hidden="false" customHeight="true" outlineLevel="0" collapsed="false">
      <c r="A44" s="12" t="n">
        <v>33</v>
      </c>
      <c r="B44" s="13" t="s">
        <v>91</v>
      </c>
      <c r="C44" s="12" t="s">
        <v>29</v>
      </c>
      <c r="D44" s="12" t="s">
        <v>23</v>
      </c>
      <c r="E44" s="12"/>
      <c r="F44" s="14" t="n">
        <v>0</v>
      </c>
      <c r="G44" s="15" t="n">
        <f aca="false">F44/$B$7</f>
        <v>0</v>
      </c>
      <c r="H44" s="16" t="s">
        <v>92</v>
      </c>
    </row>
    <row r="45" customFormat="false" ht="15.75" hidden="false" customHeight="true" outlineLevel="0" collapsed="false">
      <c r="A45" s="12" t="n">
        <v>34</v>
      </c>
      <c r="B45" s="13" t="s">
        <v>93</v>
      </c>
      <c r="C45" s="12" t="s">
        <v>22</v>
      </c>
      <c r="D45" s="12" t="s">
        <v>23</v>
      </c>
      <c r="E45" s="12"/>
      <c r="F45" s="14" t="n">
        <v>0</v>
      </c>
      <c r="G45" s="15" t="n">
        <f aca="false">F45/$B$7</f>
        <v>0</v>
      </c>
      <c r="H45" s="16" t="s">
        <v>94</v>
      </c>
    </row>
    <row r="46" customFormat="false" ht="15.75" hidden="false" customHeight="true" outlineLevel="0" collapsed="false">
      <c r="A46" s="12" t="n">
        <v>35</v>
      </c>
      <c r="B46" s="13" t="s">
        <v>95</v>
      </c>
      <c r="C46" s="12" t="s">
        <v>22</v>
      </c>
      <c r="D46" s="12" t="s">
        <v>23</v>
      </c>
      <c r="E46" s="12"/>
      <c r="F46" s="14" t="n">
        <v>0</v>
      </c>
      <c r="G46" s="15" t="n">
        <f aca="false">F46/$B$7</f>
        <v>0</v>
      </c>
      <c r="H46" s="16" t="s">
        <v>96</v>
      </c>
    </row>
    <row r="47" customFormat="false" ht="15.75" hidden="false" customHeight="true" outlineLevel="0" collapsed="false">
      <c r="A47" s="12" t="n">
        <v>36</v>
      </c>
      <c r="B47" s="13" t="s">
        <v>97</v>
      </c>
      <c r="C47" s="12" t="s">
        <v>22</v>
      </c>
      <c r="D47" s="12" t="s">
        <v>23</v>
      </c>
      <c r="E47" s="12"/>
      <c r="F47" s="14" t="n">
        <v>0</v>
      </c>
      <c r="G47" s="15" t="n">
        <f aca="false">F47/$B$7</f>
        <v>0</v>
      </c>
      <c r="H47" s="16" t="s">
        <v>98</v>
      </c>
    </row>
    <row r="48" customFormat="false" ht="15.75" hidden="false" customHeight="true" outlineLevel="0" collapsed="false">
      <c r="A48" s="12" t="n">
        <v>37</v>
      </c>
      <c r="B48" s="13" t="s">
        <v>99</v>
      </c>
      <c r="C48" s="12" t="s">
        <v>22</v>
      </c>
      <c r="D48" s="12" t="s">
        <v>23</v>
      </c>
      <c r="E48" s="12"/>
      <c r="F48" s="14" t="n">
        <v>0</v>
      </c>
      <c r="G48" s="15" t="n">
        <f aca="false">F48/$B$7</f>
        <v>0</v>
      </c>
      <c r="H48" s="16" t="s">
        <v>100</v>
      </c>
    </row>
    <row r="49" customFormat="false" ht="15.75" hidden="false" customHeight="true" outlineLevel="0" collapsed="false">
      <c r="A49" s="12" t="n">
        <v>38</v>
      </c>
      <c r="B49" s="13" t="s">
        <v>101</v>
      </c>
      <c r="C49" s="12" t="s">
        <v>22</v>
      </c>
      <c r="D49" s="12" t="s">
        <v>23</v>
      </c>
      <c r="E49" s="12"/>
      <c r="F49" s="14" t="n">
        <v>0</v>
      </c>
      <c r="G49" s="15" t="n">
        <f aca="false">F49/$B$7</f>
        <v>0</v>
      </c>
      <c r="H49" s="16" t="s">
        <v>102</v>
      </c>
    </row>
    <row r="50" customFormat="false" ht="15.75" hidden="false" customHeight="true" outlineLevel="0" collapsed="false">
      <c r="A50" s="12" t="n">
        <v>39</v>
      </c>
      <c r="B50" s="13" t="s">
        <v>103</v>
      </c>
      <c r="C50" s="12" t="s">
        <v>22</v>
      </c>
      <c r="D50" s="12" t="s">
        <v>23</v>
      </c>
      <c r="E50" s="12"/>
      <c r="F50" s="14" t="n">
        <v>0</v>
      </c>
      <c r="G50" s="15" t="n">
        <f aca="false">F50/$B$7</f>
        <v>0</v>
      </c>
      <c r="H50" s="16" t="s">
        <v>104</v>
      </c>
    </row>
    <row r="51" customFormat="false" ht="15.75" hidden="false" customHeight="true" outlineLevel="0" collapsed="false">
      <c r="A51" s="12" t="n">
        <v>40</v>
      </c>
      <c r="B51" s="13" t="s">
        <v>105</v>
      </c>
      <c r="C51" s="12" t="s">
        <v>22</v>
      </c>
      <c r="D51" s="12" t="s">
        <v>23</v>
      </c>
      <c r="E51" s="12"/>
      <c r="F51" s="14" t="n">
        <v>0</v>
      </c>
      <c r="G51" s="15" t="n">
        <f aca="false">F51/$B$7</f>
        <v>0</v>
      </c>
      <c r="H51" s="16" t="s">
        <v>106</v>
      </c>
    </row>
    <row r="52" customFormat="false" ht="15.75" hidden="false" customHeight="true" outlineLevel="0" collapsed="false">
      <c r="A52" s="12" t="n">
        <v>41</v>
      </c>
      <c r="B52" s="13" t="s">
        <v>107</v>
      </c>
      <c r="C52" s="12" t="s">
        <v>29</v>
      </c>
      <c r="D52" s="12" t="s">
        <v>23</v>
      </c>
      <c r="E52" s="12"/>
      <c r="F52" s="14" t="n">
        <v>0</v>
      </c>
      <c r="G52" s="15" t="n">
        <f aca="false">F52/$B$7</f>
        <v>0</v>
      </c>
      <c r="H52" s="16" t="s">
        <v>108</v>
      </c>
    </row>
    <row r="53" customFormat="false" ht="15.75" hidden="false" customHeight="true" outlineLevel="0" collapsed="false">
      <c r="A53" s="12" t="n">
        <v>42</v>
      </c>
      <c r="B53" s="13" t="s">
        <v>109</v>
      </c>
      <c r="C53" s="12" t="s">
        <v>40</v>
      </c>
      <c r="D53" s="12" t="s">
        <v>45</v>
      </c>
      <c r="E53" s="12"/>
      <c r="F53" s="14" t="n">
        <v>173378</v>
      </c>
      <c r="G53" s="15" t="n">
        <f aca="false">F53/$B$7</f>
        <v>0.563810725469983</v>
      </c>
      <c r="H53" s="16" t="s">
        <v>110</v>
      </c>
    </row>
    <row r="54" customFormat="false" ht="15.75" hidden="false" customHeight="true" outlineLevel="0" collapsed="false">
      <c r="A54" s="12" t="n">
        <v>43</v>
      </c>
      <c r="B54" s="13" t="s">
        <v>111</v>
      </c>
      <c r="C54" s="12" t="s">
        <v>40</v>
      </c>
      <c r="D54" s="12" t="s">
        <v>45</v>
      </c>
      <c r="E54" s="12"/>
      <c r="F54" s="14" t="n">
        <v>660</v>
      </c>
      <c r="G54" s="15" t="n">
        <f aca="false">F54/$B$7</f>
        <v>0.0021462646864665</v>
      </c>
      <c r="H54" s="16" t="s">
        <v>112</v>
      </c>
    </row>
    <row r="55" customFormat="false" ht="15.75" hidden="false" customHeight="true" outlineLevel="0" collapsed="false">
      <c r="A55" s="12" t="n">
        <v>44</v>
      </c>
      <c r="B55" s="13" t="s">
        <v>113</v>
      </c>
      <c r="C55" s="12" t="s">
        <v>40</v>
      </c>
      <c r="D55" s="12" t="s">
        <v>45</v>
      </c>
      <c r="E55" s="12"/>
      <c r="F55" s="14" t="n">
        <v>60965</v>
      </c>
      <c r="G55" s="15" t="n">
        <f aca="false">F55/$B$7</f>
        <v>0.198253070621864</v>
      </c>
      <c r="H55" s="16" t="s">
        <v>114</v>
      </c>
    </row>
    <row r="56" customFormat="false" ht="15.75" hidden="false" customHeight="true" outlineLevel="0" collapsed="false">
      <c r="A56" s="12" t="n">
        <v>45</v>
      </c>
      <c r="B56" s="13" t="s">
        <v>115</v>
      </c>
      <c r="C56" s="12" t="s">
        <v>40</v>
      </c>
      <c r="D56" s="12" t="s">
        <v>45</v>
      </c>
      <c r="E56" s="12"/>
      <c r="F56" s="14" t="n">
        <v>156061</v>
      </c>
      <c r="G56" s="15" t="n">
        <f aca="false">F56/$B$7</f>
        <v>0.507497292779771</v>
      </c>
      <c r="H56" s="16" t="s">
        <v>116</v>
      </c>
    </row>
    <row r="57" customFormat="false" ht="15.75" hidden="false" customHeight="true" outlineLevel="0" collapsed="false">
      <c r="A57" s="12" t="n">
        <v>46</v>
      </c>
      <c r="B57" s="13" t="s">
        <v>117</v>
      </c>
      <c r="C57" s="12" t="s">
        <v>40</v>
      </c>
      <c r="D57" s="12" t="s">
        <v>45</v>
      </c>
      <c r="E57" s="12"/>
      <c r="F57" s="14" t="n">
        <v>179943</v>
      </c>
      <c r="G57" s="15" t="n">
        <f aca="false">F57/$B$7</f>
        <v>0.585159555267942</v>
      </c>
      <c r="H57" s="16" t="s">
        <v>118</v>
      </c>
    </row>
    <row r="58" customFormat="false" ht="15.75" hidden="false" customHeight="true" outlineLevel="0" collapsed="false">
      <c r="A58" s="12" t="n">
        <v>47</v>
      </c>
      <c r="B58" s="13" t="s">
        <v>119</v>
      </c>
      <c r="C58" s="12" t="s">
        <v>40</v>
      </c>
      <c r="D58" s="12" t="s">
        <v>45</v>
      </c>
      <c r="E58" s="12"/>
      <c r="F58" s="14" t="n">
        <v>150007</v>
      </c>
      <c r="G58" s="15" t="n">
        <f aca="false">F58/$B$7</f>
        <v>0.487810192155728</v>
      </c>
      <c r="H58" s="16" t="s">
        <v>120</v>
      </c>
    </row>
    <row r="59" customFormat="false" ht="15.75" hidden="false" customHeight="true" outlineLevel="0" collapsed="false">
      <c r="A59" s="12" t="n">
        <v>48</v>
      </c>
      <c r="B59" s="13" t="s">
        <v>121</v>
      </c>
      <c r="C59" s="12" t="s">
        <v>40</v>
      </c>
      <c r="D59" s="12" t="s">
        <v>45</v>
      </c>
      <c r="E59" s="12"/>
      <c r="F59" s="14" t="n">
        <v>204488</v>
      </c>
      <c r="G59" s="15" t="n">
        <f aca="false">F59/$B$7</f>
        <v>0.664977838191154</v>
      </c>
      <c r="H59" s="16" t="s">
        <v>122</v>
      </c>
    </row>
    <row r="60" customFormat="false" ht="15.75" hidden="false" customHeight="true" outlineLevel="0" collapsed="false">
      <c r="A60" s="12" t="n">
        <v>49</v>
      </c>
      <c r="B60" s="13" t="s">
        <v>123</v>
      </c>
      <c r="C60" s="12" t="s">
        <v>40</v>
      </c>
      <c r="D60" s="12" t="s">
        <v>45</v>
      </c>
      <c r="E60" s="12"/>
      <c r="F60" s="14" t="n">
        <v>214865</v>
      </c>
      <c r="G60" s="15" t="n">
        <f aca="false">F60/$B$7</f>
        <v>0.698722972511553</v>
      </c>
      <c r="H60" s="16" t="s">
        <v>124</v>
      </c>
    </row>
    <row r="61" customFormat="false" ht="15.75" hidden="false" customHeight="true" outlineLevel="0" collapsed="false">
      <c r="A61" s="12" t="n">
        <v>50</v>
      </c>
      <c r="B61" s="13" t="s">
        <v>125</v>
      </c>
      <c r="C61" s="12" t="s">
        <v>40</v>
      </c>
      <c r="D61" s="12" t="s">
        <v>45</v>
      </c>
      <c r="E61" s="12"/>
      <c r="F61" s="14" t="n">
        <v>163891</v>
      </c>
      <c r="G61" s="15" t="n">
        <f aca="false">F61/$B$7</f>
        <v>0.532959796560123</v>
      </c>
      <c r="H61" s="16" t="s">
        <v>126</v>
      </c>
    </row>
    <row r="62" customFormat="false" ht="15.75" hidden="false" customHeight="true" outlineLevel="0" collapsed="false">
      <c r="A62" s="12" t="n">
        <v>51</v>
      </c>
      <c r="B62" s="13" t="s">
        <v>127</v>
      </c>
      <c r="C62" s="12" t="s">
        <v>40</v>
      </c>
      <c r="D62" s="12" t="s">
        <v>45</v>
      </c>
      <c r="E62" s="12"/>
      <c r="F62" s="14" t="n">
        <v>154828</v>
      </c>
      <c r="G62" s="15" t="n">
        <f aca="false">F62/$B$7</f>
        <v>0.503487680115508</v>
      </c>
      <c r="H62" s="16" t="s">
        <v>128</v>
      </c>
    </row>
    <row r="63" customFormat="false" ht="15.75" hidden="false" customHeight="true" outlineLevel="0" collapsed="false">
      <c r="A63" s="12" t="n">
        <v>52</v>
      </c>
      <c r="B63" s="13" t="s">
        <v>129</v>
      </c>
      <c r="C63" s="12" t="s">
        <v>40</v>
      </c>
      <c r="D63" s="12" t="s">
        <v>45</v>
      </c>
      <c r="E63" s="12"/>
      <c r="F63" s="14" t="n">
        <v>153020</v>
      </c>
      <c r="G63" s="15" t="n">
        <f aca="false">F63/$B$7</f>
        <v>0.497608215641067</v>
      </c>
      <c r="H63" s="16" t="s">
        <v>130</v>
      </c>
    </row>
    <row r="64" customFormat="false" ht="15.75" hidden="false" customHeight="true" outlineLevel="0" collapsed="false">
      <c r="A64" s="12" t="n">
        <v>53</v>
      </c>
      <c r="B64" s="13" t="s">
        <v>131</v>
      </c>
      <c r="C64" s="12" t="s">
        <v>40</v>
      </c>
      <c r="D64" s="12" t="s">
        <v>45</v>
      </c>
      <c r="E64" s="12"/>
      <c r="F64" s="14" t="n">
        <v>208642</v>
      </c>
      <c r="G64" s="15" t="n">
        <f aca="false">F64/$B$7</f>
        <v>0.678486298051127</v>
      </c>
      <c r="H64" s="16" t="s">
        <v>132</v>
      </c>
    </row>
    <row r="65" customFormat="false" ht="15.75" hidden="false" customHeight="true" outlineLevel="0" collapsed="false">
      <c r="A65" s="12" t="n">
        <v>54</v>
      </c>
      <c r="B65" s="13" t="s">
        <v>133</v>
      </c>
      <c r="C65" s="12" t="s">
        <v>40</v>
      </c>
      <c r="D65" s="12" t="s">
        <v>45</v>
      </c>
      <c r="E65" s="12"/>
      <c r="F65" s="14" t="n">
        <v>182590</v>
      </c>
      <c r="G65" s="15" t="n">
        <f aca="false">F65/$B$7</f>
        <v>0.593767377427149</v>
      </c>
      <c r="H65" s="16" t="s">
        <v>134</v>
      </c>
    </row>
    <row r="66" customFormat="false" ht="15.75" hidden="false" customHeight="true" outlineLevel="0" collapsed="false">
      <c r="A66" s="12" t="n">
        <v>55</v>
      </c>
      <c r="B66" s="13" t="s">
        <v>135</v>
      </c>
      <c r="C66" s="12" t="s">
        <v>40</v>
      </c>
      <c r="D66" s="12" t="s">
        <v>45</v>
      </c>
      <c r="E66" s="12"/>
      <c r="F66" s="14" t="n">
        <v>210199</v>
      </c>
      <c r="G66" s="15" t="n">
        <f aca="false">F66/$B$7</f>
        <v>0.683549531561473</v>
      </c>
      <c r="H66" s="16" t="s">
        <v>136</v>
      </c>
    </row>
    <row r="67" customFormat="false" ht="15.75" hidden="false" customHeight="true" outlineLevel="0" collapsed="false">
      <c r="A67" s="12" t="n">
        <v>56</v>
      </c>
      <c r="B67" s="13" t="s">
        <v>137</v>
      </c>
      <c r="C67" s="12" t="s">
        <v>40</v>
      </c>
      <c r="D67" s="12" t="s">
        <v>45</v>
      </c>
      <c r="E67" s="12"/>
      <c r="F67" s="14" t="n">
        <v>154350</v>
      </c>
      <c r="G67" s="15" t="n">
        <f aca="false">F67/$B$7</f>
        <v>0.501933264175916</v>
      </c>
      <c r="H67" s="16" t="s">
        <v>138</v>
      </c>
    </row>
    <row r="68" customFormat="false" ht="15.75" hidden="false" customHeight="true" outlineLevel="0" collapsed="false">
      <c r="A68" s="12" t="n">
        <v>57</v>
      </c>
      <c r="B68" s="13" t="s">
        <v>139</v>
      </c>
      <c r="C68" s="12" t="s">
        <v>40</v>
      </c>
      <c r="D68" s="12" t="s">
        <v>45</v>
      </c>
      <c r="E68" s="12"/>
      <c r="F68" s="14" t="n">
        <v>213514</v>
      </c>
      <c r="G68" s="15" t="n">
        <f aca="false">F68/$B$7</f>
        <v>0.694329633736679</v>
      </c>
      <c r="H68" s="16" t="s">
        <v>140</v>
      </c>
    </row>
    <row r="69" customFormat="false" ht="15.75" hidden="false" customHeight="true" outlineLevel="0" collapsed="false">
      <c r="A69" s="12" t="n">
        <v>58</v>
      </c>
      <c r="B69" s="13" t="s">
        <v>141</v>
      </c>
      <c r="C69" s="12" t="s">
        <v>40</v>
      </c>
      <c r="D69" s="12" t="s">
        <v>45</v>
      </c>
      <c r="E69" s="12"/>
      <c r="F69" s="14" t="n">
        <v>169682</v>
      </c>
      <c r="G69" s="15" t="n">
        <f aca="false">F69/$B$7</f>
        <v>0.551791643225771</v>
      </c>
      <c r="H69" s="16" t="s">
        <v>142</v>
      </c>
    </row>
    <row r="70" customFormat="false" ht="15.75" hidden="false" customHeight="true" outlineLevel="0" collapsed="false">
      <c r="A70" s="12" t="n">
        <v>59</v>
      </c>
      <c r="B70" s="13" t="s">
        <v>143</v>
      </c>
      <c r="C70" s="12" t="s">
        <v>40</v>
      </c>
      <c r="D70" s="12" t="s">
        <v>45</v>
      </c>
      <c r="E70" s="12"/>
      <c r="F70" s="14" t="n">
        <v>156061</v>
      </c>
      <c r="G70" s="15" t="n">
        <f aca="false">F70/$B$7</f>
        <v>0.507497292779771</v>
      </c>
      <c r="H70" s="16" t="s">
        <v>144</v>
      </c>
    </row>
    <row r="71" customFormat="false" ht="15.75" hidden="false" customHeight="true" outlineLevel="0" collapsed="false">
      <c r="A71" s="12" t="n">
        <v>60</v>
      </c>
      <c r="B71" s="13" t="s">
        <v>145</v>
      </c>
      <c r="C71" s="12" t="s">
        <v>40</v>
      </c>
      <c r="D71" s="12" t="s">
        <v>45</v>
      </c>
      <c r="E71" s="12"/>
      <c r="F71" s="14" t="n">
        <v>179943</v>
      </c>
      <c r="G71" s="15" t="n">
        <f aca="false">F71/$B$7</f>
        <v>0.585159555267942</v>
      </c>
      <c r="H71" s="16" t="s">
        <v>146</v>
      </c>
    </row>
    <row r="72" customFormat="false" ht="15.75" hidden="false" customHeight="true" outlineLevel="0" collapsed="false">
      <c r="A72" s="12" t="n">
        <v>61</v>
      </c>
      <c r="B72" s="13" t="s">
        <v>147</v>
      </c>
      <c r="C72" s="12" t="s">
        <v>40</v>
      </c>
      <c r="D72" s="12" t="s">
        <v>45</v>
      </c>
      <c r="E72" s="12"/>
      <c r="F72" s="14" t="n">
        <v>150007</v>
      </c>
      <c r="G72" s="15" t="n">
        <f aca="false">F72/$B$7</f>
        <v>0.487810192155728</v>
      </c>
      <c r="H72" s="16" t="s">
        <v>148</v>
      </c>
    </row>
    <row r="73" customFormat="false" ht="15.75" hidden="false" customHeight="true" outlineLevel="0" collapsed="false">
      <c r="A73" s="12" t="n">
        <v>62</v>
      </c>
      <c r="B73" s="13" t="s">
        <v>149</v>
      </c>
      <c r="C73" s="12" t="s">
        <v>40</v>
      </c>
      <c r="D73" s="12" t="s">
        <v>45</v>
      </c>
      <c r="E73" s="12"/>
      <c r="F73" s="14" t="n">
        <v>204488</v>
      </c>
      <c r="G73" s="15" t="n">
        <f aca="false">F73/$B$7</f>
        <v>0.664977838191154</v>
      </c>
      <c r="H73" s="16" t="s">
        <v>150</v>
      </c>
    </row>
    <row r="74" customFormat="false" ht="15.75" hidden="false" customHeight="true" outlineLevel="0" collapsed="false">
      <c r="A74" s="12" t="n">
        <v>63</v>
      </c>
      <c r="B74" s="13" t="s">
        <v>151</v>
      </c>
      <c r="C74" s="12" t="s">
        <v>40</v>
      </c>
      <c r="D74" s="12" t="s">
        <v>45</v>
      </c>
      <c r="E74" s="12"/>
      <c r="F74" s="14" t="n">
        <v>214865</v>
      </c>
      <c r="G74" s="15" t="n">
        <f aca="false">F74/$B$7</f>
        <v>0.698722972511553</v>
      </c>
      <c r="H74" s="16" t="s">
        <v>152</v>
      </c>
    </row>
    <row r="75" customFormat="false" ht="15.75" hidden="false" customHeight="true" outlineLevel="0" collapsed="false">
      <c r="A75" s="12" t="n">
        <v>64</v>
      </c>
      <c r="B75" s="13" t="s">
        <v>153</v>
      </c>
      <c r="C75" s="12" t="s">
        <v>40</v>
      </c>
      <c r="D75" s="12" t="s">
        <v>45</v>
      </c>
      <c r="E75" s="12"/>
      <c r="F75" s="14" t="n">
        <v>163891</v>
      </c>
      <c r="G75" s="15" t="n">
        <f aca="false">F75/$B$7</f>
        <v>0.532959796560123</v>
      </c>
      <c r="H75" s="16" t="s">
        <v>154</v>
      </c>
    </row>
    <row r="76" customFormat="false" ht="15.75" hidden="false" customHeight="true" outlineLevel="0" collapsed="false">
      <c r="A76" s="12" t="n">
        <v>65</v>
      </c>
      <c r="B76" s="13" t="s">
        <v>155</v>
      </c>
      <c r="C76" s="12" t="s">
        <v>40</v>
      </c>
      <c r="D76" s="12" t="s">
        <v>45</v>
      </c>
      <c r="E76" s="12"/>
      <c r="F76" s="14" t="n">
        <v>154828</v>
      </c>
      <c r="G76" s="15" t="n">
        <f aca="false">F76/$B$7</f>
        <v>0.503487680115508</v>
      </c>
      <c r="H76" s="16" t="s">
        <v>156</v>
      </c>
    </row>
    <row r="77" customFormat="false" ht="15.75" hidden="false" customHeight="true" outlineLevel="0" collapsed="false">
      <c r="A77" s="12" t="n">
        <v>66</v>
      </c>
      <c r="B77" s="13" t="s">
        <v>157</v>
      </c>
      <c r="C77" s="12" t="s">
        <v>40</v>
      </c>
      <c r="D77" s="12" t="s">
        <v>45</v>
      </c>
      <c r="E77" s="12"/>
      <c r="F77" s="14" t="n">
        <v>153020</v>
      </c>
      <c r="G77" s="15" t="n">
        <f aca="false">F77/$B$7</f>
        <v>0.497608215641067</v>
      </c>
      <c r="H77" s="16" t="s">
        <v>158</v>
      </c>
    </row>
    <row r="78" customFormat="false" ht="15.75" hidden="false" customHeight="true" outlineLevel="0" collapsed="false">
      <c r="A78" s="12" t="n">
        <v>67</v>
      </c>
      <c r="B78" s="13" t="s">
        <v>159</v>
      </c>
      <c r="C78" s="12" t="s">
        <v>40</v>
      </c>
      <c r="D78" s="12" t="s">
        <v>45</v>
      </c>
      <c r="E78" s="12"/>
      <c r="F78" s="14" t="n">
        <v>208642</v>
      </c>
      <c r="G78" s="15" t="n">
        <f aca="false">F78/$B$7</f>
        <v>0.678486298051127</v>
      </c>
      <c r="H78" s="16" t="s">
        <v>160</v>
      </c>
    </row>
    <row r="79" customFormat="false" ht="15.75" hidden="false" customHeight="true" outlineLevel="0" collapsed="false">
      <c r="A79" s="12" t="n">
        <v>68</v>
      </c>
      <c r="B79" s="13" t="s">
        <v>161</v>
      </c>
      <c r="C79" s="12" t="s">
        <v>40</v>
      </c>
      <c r="D79" s="12" t="s">
        <v>45</v>
      </c>
      <c r="E79" s="12"/>
      <c r="F79" s="14" t="n">
        <v>182590</v>
      </c>
      <c r="G79" s="15" t="n">
        <f aca="false">F79/$B$7</f>
        <v>0.593767377427149</v>
      </c>
      <c r="H79" s="16" t="s">
        <v>162</v>
      </c>
    </row>
    <row r="80" customFormat="false" ht="15.75" hidden="false" customHeight="true" outlineLevel="0" collapsed="false">
      <c r="A80" s="12" t="n">
        <v>69</v>
      </c>
      <c r="B80" s="13" t="s">
        <v>163</v>
      </c>
      <c r="C80" s="12" t="s">
        <v>40</v>
      </c>
      <c r="D80" s="12" t="s">
        <v>45</v>
      </c>
      <c r="E80" s="12"/>
      <c r="F80" s="14" t="n">
        <v>210199</v>
      </c>
      <c r="G80" s="15" t="n">
        <f aca="false">F80/$B$7</f>
        <v>0.683549531561473</v>
      </c>
      <c r="H80" s="16" t="s">
        <v>164</v>
      </c>
    </row>
    <row r="81" customFormat="false" ht="15.75" hidden="false" customHeight="true" outlineLevel="0" collapsed="false">
      <c r="A81" s="12" t="n">
        <v>70</v>
      </c>
      <c r="B81" s="13" t="s">
        <v>165</v>
      </c>
      <c r="C81" s="12" t="s">
        <v>40</v>
      </c>
      <c r="D81" s="12" t="s">
        <v>45</v>
      </c>
      <c r="E81" s="12"/>
      <c r="F81" s="14" t="n">
        <v>154350</v>
      </c>
      <c r="G81" s="15" t="n">
        <f aca="false">F81/$B$7</f>
        <v>0.501933264175916</v>
      </c>
      <c r="H81" s="16" t="s">
        <v>166</v>
      </c>
    </row>
    <row r="82" customFormat="false" ht="15.75" hidden="false" customHeight="true" outlineLevel="0" collapsed="false">
      <c r="A82" s="12" t="n">
        <v>71</v>
      </c>
      <c r="B82" s="13" t="s">
        <v>167</v>
      </c>
      <c r="C82" s="12" t="s">
        <v>40</v>
      </c>
      <c r="D82" s="12" t="s">
        <v>45</v>
      </c>
      <c r="E82" s="12"/>
      <c r="F82" s="14" t="n">
        <v>213514</v>
      </c>
      <c r="G82" s="15" t="n">
        <f aca="false">F82/$B$7</f>
        <v>0.694329633736679</v>
      </c>
      <c r="H82" s="16" t="s">
        <v>168</v>
      </c>
    </row>
    <row r="83" customFormat="false" ht="15.75" hidden="false" customHeight="true" outlineLevel="0" collapsed="false">
      <c r="A83" s="12" t="n">
        <v>72</v>
      </c>
      <c r="B83" s="13" t="s">
        <v>169</v>
      </c>
      <c r="C83" s="12" t="s">
        <v>40</v>
      </c>
      <c r="D83" s="12" t="s">
        <v>45</v>
      </c>
      <c r="E83" s="12"/>
      <c r="F83" s="14" t="n">
        <v>169682</v>
      </c>
      <c r="G83" s="15" t="n">
        <f aca="false">F83/$B$7</f>
        <v>0.551791643225771</v>
      </c>
      <c r="H83" s="16" t="s">
        <v>170</v>
      </c>
    </row>
    <row r="84" customFormat="false" ht="15.75" hidden="false" customHeight="true" outlineLevel="0" collapsed="false">
      <c r="A84" s="12" t="n">
        <v>73</v>
      </c>
      <c r="B84" s="13" t="s">
        <v>171</v>
      </c>
      <c r="C84" s="12" t="s">
        <v>40</v>
      </c>
      <c r="D84" s="12" t="s">
        <v>45</v>
      </c>
      <c r="E84" s="12"/>
      <c r="F84" s="14" t="n">
        <v>156061</v>
      </c>
      <c r="G84" s="15" t="n">
        <f aca="false">F84/$B$7</f>
        <v>0.507497292779771</v>
      </c>
      <c r="H84" s="16" t="s">
        <v>172</v>
      </c>
    </row>
    <row r="85" customFormat="false" ht="15.75" hidden="false" customHeight="true" outlineLevel="0" collapsed="false">
      <c r="A85" s="12" t="n">
        <v>74</v>
      </c>
      <c r="B85" s="13" t="s">
        <v>173</v>
      </c>
      <c r="C85" s="12" t="s">
        <v>40</v>
      </c>
      <c r="D85" s="12" t="s">
        <v>45</v>
      </c>
      <c r="E85" s="12"/>
      <c r="F85" s="14" t="n">
        <v>179943</v>
      </c>
      <c r="G85" s="15" t="n">
        <f aca="false">F85/$B$7</f>
        <v>0.585159555267942</v>
      </c>
      <c r="H85" s="16" t="s">
        <v>174</v>
      </c>
    </row>
    <row r="86" customFormat="false" ht="15.75" hidden="false" customHeight="true" outlineLevel="0" collapsed="false">
      <c r="A86" s="12" t="n">
        <v>75</v>
      </c>
      <c r="B86" s="13" t="s">
        <v>175</v>
      </c>
      <c r="C86" s="12" t="s">
        <v>40</v>
      </c>
      <c r="D86" s="12" t="s">
        <v>45</v>
      </c>
      <c r="E86" s="12"/>
      <c r="F86" s="14" t="n">
        <v>150007</v>
      </c>
      <c r="G86" s="15" t="n">
        <f aca="false">F86/$B$7</f>
        <v>0.487810192155728</v>
      </c>
      <c r="H86" s="16" t="s">
        <v>176</v>
      </c>
    </row>
    <row r="87" customFormat="false" ht="15.75" hidden="false" customHeight="true" outlineLevel="0" collapsed="false">
      <c r="A87" s="12" t="n">
        <v>76</v>
      </c>
      <c r="B87" s="13" t="s">
        <v>177</v>
      </c>
      <c r="C87" s="12" t="s">
        <v>40</v>
      </c>
      <c r="D87" s="12" t="s">
        <v>45</v>
      </c>
      <c r="E87" s="12"/>
      <c r="F87" s="14" t="n">
        <v>204488</v>
      </c>
      <c r="G87" s="15" t="n">
        <f aca="false">F87/$B$7</f>
        <v>0.664977838191154</v>
      </c>
      <c r="H87" s="16" t="s">
        <v>178</v>
      </c>
    </row>
    <row r="88" customFormat="false" ht="15.75" hidden="false" customHeight="true" outlineLevel="0" collapsed="false">
      <c r="A88" s="12" t="n">
        <v>77</v>
      </c>
      <c r="B88" s="13" t="s">
        <v>179</v>
      </c>
      <c r="C88" s="12" t="s">
        <v>40</v>
      </c>
      <c r="D88" s="12" t="s">
        <v>45</v>
      </c>
      <c r="E88" s="12"/>
      <c r="F88" s="14" t="n">
        <v>214865</v>
      </c>
      <c r="G88" s="15" t="n">
        <f aca="false">F88/$B$7</f>
        <v>0.698722972511553</v>
      </c>
      <c r="H88" s="16" t="s">
        <v>180</v>
      </c>
    </row>
    <row r="89" customFormat="false" ht="15.75" hidden="false" customHeight="true" outlineLevel="0" collapsed="false">
      <c r="A89" s="12" t="n">
        <v>78</v>
      </c>
      <c r="B89" s="13" t="s">
        <v>181</v>
      </c>
      <c r="C89" s="12" t="s">
        <v>40</v>
      </c>
      <c r="D89" s="12" t="s">
        <v>45</v>
      </c>
      <c r="E89" s="12"/>
      <c r="F89" s="14" t="n">
        <v>163891</v>
      </c>
      <c r="G89" s="15" t="n">
        <f aca="false">F89/$B$7</f>
        <v>0.532959796560123</v>
      </c>
      <c r="H89" s="16" t="s">
        <v>182</v>
      </c>
    </row>
    <row r="90" customFormat="false" ht="15.75" hidden="false" customHeight="true" outlineLevel="0" collapsed="false">
      <c r="A90" s="12" t="n">
        <v>79</v>
      </c>
      <c r="B90" s="13" t="s">
        <v>183</v>
      </c>
      <c r="C90" s="12" t="s">
        <v>40</v>
      </c>
      <c r="D90" s="12" t="s">
        <v>45</v>
      </c>
      <c r="E90" s="12"/>
      <c r="F90" s="14" t="n">
        <v>154828</v>
      </c>
      <c r="G90" s="15" t="n">
        <f aca="false">F90/$B$7</f>
        <v>0.503487680115508</v>
      </c>
      <c r="H90" s="16" t="s">
        <v>184</v>
      </c>
    </row>
    <row r="91" customFormat="false" ht="15.75" hidden="false" customHeight="true" outlineLevel="0" collapsed="false">
      <c r="A91" s="12" t="n">
        <v>80</v>
      </c>
      <c r="B91" s="13" t="s">
        <v>185</v>
      </c>
      <c r="C91" s="12" t="s">
        <v>40</v>
      </c>
      <c r="D91" s="12" t="s">
        <v>45</v>
      </c>
      <c r="E91" s="12"/>
      <c r="F91" s="14" t="n">
        <v>153020</v>
      </c>
      <c r="G91" s="15" t="n">
        <f aca="false">F91/$B$7</f>
        <v>0.497608215641067</v>
      </c>
      <c r="H91" s="16" t="s">
        <v>186</v>
      </c>
    </row>
    <row r="92" customFormat="false" ht="15.75" hidden="false" customHeight="true" outlineLevel="0" collapsed="false">
      <c r="A92" s="12" t="n">
        <v>81</v>
      </c>
      <c r="B92" s="13" t="s">
        <v>187</v>
      </c>
      <c r="C92" s="12" t="s">
        <v>40</v>
      </c>
      <c r="D92" s="12" t="s">
        <v>45</v>
      </c>
      <c r="E92" s="12"/>
      <c r="F92" s="14" t="n">
        <v>208642</v>
      </c>
      <c r="G92" s="15" t="n">
        <f aca="false">F92/$B$7</f>
        <v>0.678486298051127</v>
      </c>
      <c r="H92" s="16" t="s">
        <v>188</v>
      </c>
    </row>
    <row r="93" customFormat="false" ht="15.75" hidden="false" customHeight="true" outlineLevel="0" collapsed="false">
      <c r="A93" s="12" t="n">
        <v>82</v>
      </c>
      <c r="B93" s="13" t="s">
        <v>189</v>
      </c>
      <c r="C93" s="12" t="s">
        <v>40</v>
      </c>
      <c r="D93" s="12" t="s">
        <v>45</v>
      </c>
      <c r="E93" s="12"/>
      <c r="F93" s="14" t="n">
        <v>182590</v>
      </c>
      <c r="G93" s="15" t="n">
        <f aca="false">F93/$B$7</f>
        <v>0.593767377427149</v>
      </c>
      <c r="H93" s="16" t="s">
        <v>190</v>
      </c>
    </row>
    <row r="94" customFormat="false" ht="15.75" hidden="false" customHeight="true" outlineLevel="0" collapsed="false">
      <c r="A94" s="12" t="n">
        <v>83</v>
      </c>
      <c r="B94" s="13" t="s">
        <v>191</v>
      </c>
      <c r="C94" s="12" t="s">
        <v>40</v>
      </c>
      <c r="D94" s="12" t="s">
        <v>45</v>
      </c>
      <c r="E94" s="12"/>
      <c r="F94" s="14" t="n">
        <v>210199</v>
      </c>
      <c r="G94" s="15" t="n">
        <f aca="false">F94/$B$7</f>
        <v>0.683549531561473</v>
      </c>
      <c r="H94" s="16" t="s">
        <v>192</v>
      </c>
    </row>
    <row r="95" customFormat="false" ht="15.75" hidden="false" customHeight="true" outlineLevel="0" collapsed="false">
      <c r="A95" s="12" t="n">
        <v>84</v>
      </c>
      <c r="B95" s="13" t="s">
        <v>193</v>
      </c>
      <c r="C95" s="12" t="s">
        <v>40</v>
      </c>
      <c r="D95" s="12" t="s">
        <v>45</v>
      </c>
      <c r="E95" s="12"/>
      <c r="F95" s="14" t="n">
        <v>154350</v>
      </c>
      <c r="G95" s="15" t="n">
        <f aca="false">F95/$B$7</f>
        <v>0.501933264175916</v>
      </c>
      <c r="H95" s="16" t="s">
        <v>194</v>
      </c>
    </row>
    <row r="96" customFormat="false" ht="15.75" hidden="false" customHeight="true" outlineLevel="0" collapsed="false">
      <c r="A96" s="12" t="n">
        <v>85</v>
      </c>
      <c r="B96" s="13" t="s">
        <v>195</v>
      </c>
      <c r="C96" s="12" t="s">
        <v>40</v>
      </c>
      <c r="D96" s="12" t="s">
        <v>45</v>
      </c>
      <c r="E96" s="12"/>
      <c r="F96" s="14" t="n">
        <v>213514</v>
      </c>
      <c r="G96" s="15" t="n">
        <f aca="false">F96/$B$7</f>
        <v>0.694329633736679</v>
      </c>
      <c r="H96" s="16" t="s">
        <v>196</v>
      </c>
    </row>
    <row r="97" customFormat="false" ht="15.75" hidden="false" customHeight="true" outlineLevel="0" collapsed="false">
      <c r="A97" s="12" t="n">
        <v>86</v>
      </c>
      <c r="B97" s="13" t="s">
        <v>197</v>
      </c>
      <c r="C97" s="12" t="s">
        <v>40</v>
      </c>
      <c r="D97" s="12" t="s">
        <v>45</v>
      </c>
      <c r="E97" s="12"/>
      <c r="F97" s="14" t="n">
        <v>169682</v>
      </c>
      <c r="G97" s="15" t="n">
        <f aca="false">F97/$B$7</f>
        <v>0.551791643225771</v>
      </c>
      <c r="H97" s="16" t="s">
        <v>198</v>
      </c>
    </row>
    <row r="98" customFormat="false" ht="15.75" hidden="false" customHeight="true" outlineLevel="0" collapsed="false">
      <c r="A98" s="12" t="n">
        <v>87</v>
      </c>
      <c r="B98" s="13" t="s">
        <v>199</v>
      </c>
      <c r="C98" s="12" t="s">
        <v>29</v>
      </c>
      <c r="D98" s="12" t="s">
        <v>45</v>
      </c>
      <c r="E98" s="12"/>
      <c r="F98" s="14" t="n">
        <v>210295</v>
      </c>
      <c r="G98" s="15" t="n">
        <f aca="false">F98/$B$7</f>
        <v>0.683861715515868</v>
      </c>
      <c r="H98" s="16" t="s">
        <v>200</v>
      </c>
    </row>
    <row r="99" customFormat="false" ht="15.75" hidden="false" customHeight="true" outlineLevel="0" collapsed="false">
      <c r="A99" s="12" t="n">
        <v>88</v>
      </c>
      <c r="B99" s="13" t="s">
        <v>201</v>
      </c>
      <c r="C99" s="12" t="s">
        <v>29</v>
      </c>
      <c r="D99" s="12" t="s">
        <v>45</v>
      </c>
      <c r="E99" s="12"/>
      <c r="F99" s="14" t="n">
        <v>154297</v>
      </c>
      <c r="G99" s="15" t="n">
        <f aca="false">F99/$B$7</f>
        <v>0.50176091261776</v>
      </c>
      <c r="H99" s="16" t="s">
        <v>202</v>
      </c>
    </row>
    <row r="100" customFormat="false" ht="15.75" hidden="false" customHeight="true" outlineLevel="0" collapsed="false">
      <c r="A100" s="12" t="n">
        <v>89</v>
      </c>
      <c r="B100" s="13" t="s">
        <v>203</v>
      </c>
      <c r="C100" s="12" t="s">
        <v>40</v>
      </c>
      <c r="D100" s="12" t="s">
        <v>45</v>
      </c>
      <c r="E100" s="12"/>
      <c r="F100" s="14" t="n">
        <v>148431</v>
      </c>
      <c r="G100" s="15" t="n">
        <f aca="false">F100/$B$7</f>
        <v>0.482685172237741</v>
      </c>
      <c r="H100" s="16" t="s">
        <v>204</v>
      </c>
    </row>
    <row r="101" customFormat="false" ht="15.75" hidden="false" customHeight="true" outlineLevel="0" collapsed="false">
      <c r="A101" s="12" t="n">
        <v>90</v>
      </c>
      <c r="B101" s="13" t="s">
        <v>205</v>
      </c>
      <c r="C101" s="12" t="s">
        <v>29</v>
      </c>
      <c r="D101" s="12" t="s">
        <v>45</v>
      </c>
      <c r="E101" s="12"/>
      <c r="F101" s="14" t="n">
        <v>156341</v>
      </c>
      <c r="G101" s="15" t="n">
        <f aca="false">F101/$B$7</f>
        <v>0.508407829313423</v>
      </c>
      <c r="H101" s="16" t="s">
        <v>206</v>
      </c>
    </row>
    <row r="102" customFormat="false" ht="15.75" hidden="false" customHeight="true" outlineLevel="0" collapsed="false">
      <c r="A102" s="12" t="n">
        <v>91</v>
      </c>
      <c r="B102" s="13" t="s">
        <v>207</v>
      </c>
      <c r="C102" s="12" t="s">
        <v>29</v>
      </c>
      <c r="D102" s="12" t="s">
        <v>45</v>
      </c>
      <c r="E102" s="12"/>
      <c r="F102" s="14" t="n">
        <v>145755</v>
      </c>
      <c r="G102" s="15" t="n">
        <f aca="false">F102/$B$7</f>
        <v>0.473983044508977</v>
      </c>
      <c r="H102" s="16" t="s">
        <v>208</v>
      </c>
    </row>
    <row r="103" customFormat="false" ht="15.75" hidden="false" customHeight="true" outlineLevel="0" collapsed="false">
      <c r="A103" s="12" t="n">
        <v>92</v>
      </c>
      <c r="B103" s="13" t="s">
        <v>209</v>
      </c>
      <c r="C103" s="12" t="s">
        <v>40</v>
      </c>
      <c r="D103" s="12" t="s">
        <v>45</v>
      </c>
      <c r="E103" s="12"/>
      <c r="F103" s="14" t="n">
        <v>1021</v>
      </c>
      <c r="G103" s="15" t="n">
        <f aca="false">F103/$B$7</f>
        <v>0.00332020643163984</v>
      </c>
      <c r="H103" s="13" t="s">
        <v>210</v>
      </c>
    </row>
    <row r="104" customFormat="false" ht="15.75" hidden="false" customHeight="true" outlineLevel="0" collapsed="false">
      <c r="A104" s="12" t="n">
        <v>93</v>
      </c>
      <c r="B104" s="13" t="s">
        <v>211</v>
      </c>
      <c r="C104" s="12" t="s">
        <v>40</v>
      </c>
      <c r="D104" s="12" t="s">
        <v>45</v>
      </c>
      <c r="E104" s="12"/>
      <c r="F104" s="14" t="n">
        <v>1021</v>
      </c>
      <c r="G104" s="15" t="n">
        <f aca="false">F104/$B$7</f>
        <v>0.00332020643163984</v>
      </c>
      <c r="H104" s="13" t="s">
        <v>212</v>
      </c>
    </row>
    <row r="105" customFormat="false" ht="15.75" hidden="false" customHeight="true" outlineLevel="0" collapsed="false">
      <c r="A105" s="12" t="n">
        <v>94</v>
      </c>
      <c r="B105" s="13" t="s">
        <v>213</v>
      </c>
      <c r="C105" s="12" t="s">
        <v>40</v>
      </c>
      <c r="D105" s="12" t="s">
        <v>45</v>
      </c>
      <c r="E105" s="12"/>
      <c r="F105" s="14" t="n">
        <v>1021</v>
      </c>
      <c r="G105" s="15" t="n">
        <f aca="false">F105/$B$7</f>
        <v>0.00332020643163984</v>
      </c>
      <c r="H105" s="13" t="s">
        <v>214</v>
      </c>
    </row>
    <row r="106" customFormat="false" ht="15.75" hidden="false" customHeight="true" outlineLevel="0" collapsed="false">
      <c r="A106" s="12" t="n">
        <v>95</v>
      </c>
      <c r="B106" s="13" t="s">
        <v>215</v>
      </c>
      <c r="C106" s="12" t="s">
        <v>40</v>
      </c>
      <c r="D106" s="12" t="s">
        <v>45</v>
      </c>
      <c r="E106" s="12"/>
      <c r="F106" s="14" t="n">
        <v>1021</v>
      </c>
      <c r="G106" s="15" t="n">
        <f aca="false">F106/$B$7</f>
        <v>0.00332020643163984</v>
      </c>
      <c r="H106" s="13" t="s">
        <v>216</v>
      </c>
    </row>
    <row r="107" customFormat="false" ht="15.75" hidden="false" customHeight="true" outlineLevel="0" collapsed="false">
      <c r="A107" s="12" t="n">
        <v>96</v>
      </c>
      <c r="B107" s="13" t="s">
        <v>217</v>
      </c>
      <c r="C107" s="12" t="s">
        <v>40</v>
      </c>
      <c r="D107" s="12" t="s">
        <v>45</v>
      </c>
      <c r="E107" s="12"/>
      <c r="F107" s="14" t="n">
        <v>1</v>
      </c>
      <c r="G107" s="15" t="n">
        <f aca="false">F107/$B$7</f>
        <v>3.25191619161591E-006</v>
      </c>
      <c r="H107" s="16" t="s">
        <v>218</v>
      </c>
    </row>
    <row r="108" customFormat="false" ht="15.75" hidden="false" customHeight="true" outlineLevel="0" collapsed="false">
      <c r="A108" s="12" t="n">
        <v>97</v>
      </c>
      <c r="B108" s="13" t="s">
        <v>219</v>
      </c>
      <c r="C108" s="12" t="s">
        <v>22</v>
      </c>
      <c r="D108" s="12" t="s">
        <v>23</v>
      </c>
      <c r="E108" s="12"/>
      <c r="F108" s="14" t="n">
        <v>0</v>
      </c>
      <c r="G108" s="15" t="n">
        <f aca="false">F108/$B$7</f>
        <v>0</v>
      </c>
      <c r="H108" s="16" t="s">
        <v>220</v>
      </c>
    </row>
    <row r="109" customFormat="false" ht="15.75" hidden="false" customHeight="true" outlineLevel="0" collapsed="false">
      <c r="A109" s="12" t="n">
        <v>98</v>
      </c>
      <c r="B109" s="13" t="s">
        <v>221</v>
      </c>
      <c r="C109" s="12" t="s">
        <v>22</v>
      </c>
      <c r="D109" s="12" t="s">
        <v>23</v>
      </c>
      <c r="E109" s="12"/>
      <c r="F109" s="14" t="n">
        <v>0</v>
      </c>
      <c r="G109" s="15" t="n">
        <f aca="false">F109/$B$7</f>
        <v>0</v>
      </c>
      <c r="H109" s="16" t="s">
        <v>222</v>
      </c>
    </row>
    <row r="110" customFormat="false" ht="15.75" hidden="false" customHeight="true" outlineLevel="0" collapsed="false">
      <c r="A110" s="12" t="n">
        <v>99</v>
      </c>
      <c r="B110" s="13" t="s">
        <v>223</v>
      </c>
      <c r="C110" s="12" t="s">
        <v>22</v>
      </c>
      <c r="D110" s="12" t="s">
        <v>23</v>
      </c>
      <c r="E110" s="12"/>
      <c r="F110" s="14" t="n">
        <v>0</v>
      </c>
      <c r="G110" s="15" t="n">
        <f aca="false">F110/$B$7</f>
        <v>0</v>
      </c>
      <c r="H110" s="16" t="s">
        <v>224</v>
      </c>
    </row>
    <row r="111" customFormat="false" ht="15.75" hidden="false" customHeight="true" outlineLevel="0" collapsed="false">
      <c r="A111" s="12" t="n">
        <v>100</v>
      </c>
      <c r="B111" s="13" t="s">
        <v>225</v>
      </c>
      <c r="C111" s="12" t="s">
        <v>22</v>
      </c>
      <c r="D111" s="12" t="s">
        <v>23</v>
      </c>
      <c r="E111" s="12"/>
      <c r="F111" s="14" t="n">
        <v>0</v>
      </c>
      <c r="G111" s="15" t="n">
        <f aca="false">F111/$B$7</f>
        <v>0</v>
      </c>
      <c r="H111" s="16" t="s">
        <v>226</v>
      </c>
    </row>
    <row r="112" customFormat="false" ht="15.75" hidden="false" customHeight="true" outlineLevel="0" collapsed="false">
      <c r="A112" s="12" t="n">
        <v>101</v>
      </c>
      <c r="B112" s="13" t="s">
        <v>227</v>
      </c>
      <c r="C112" s="12" t="s">
        <v>22</v>
      </c>
      <c r="D112" s="12" t="s">
        <v>23</v>
      </c>
      <c r="E112" s="12"/>
      <c r="F112" s="14" t="n">
        <v>0</v>
      </c>
      <c r="G112" s="15" t="n">
        <f aca="false">F112/$B$7</f>
        <v>0</v>
      </c>
      <c r="H112" s="16" t="s">
        <v>228</v>
      </c>
    </row>
    <row r="113" customFormat="false" ht="15.75" hidden="false" customHeight="true" outlineLevel="0" collapsed="false">
      <c r="A113" s="12" t="n">
        <v>102</v>
      </c>
      <c r="B113" s="13" t="s">
        <v>229</v>
      </c>
      <c r="C113" s="12" t="s">
        <v>22</v>
      </c>
      <c r="D113" s="12" t="s">
        <v>23</v>
      </c>
      <c r="E113" s="12"/>
      <c r="F113" s="14" t="n">
        <v>0</v>
      </c>
      <c r="G113" s="15" t="n">
        <f aca="false">F113/$B$7</f>
        <v>0</v>
      </c>
      <c r="H113" s="16" t="s">
        <v>230</v>
      </c>
    </row>
    <row r="114" customFormat="false" ht="15.75" hidden="false" customHeight="true" outlineLevel="0" collapsed="false">
      <c r="A114" s="12" t="n">
        <v>103</v>
      </c>
      <c r="B114" s="13" t="s">
        <v>231</v>
      </c>
      <c r="C114" s="12" t="s">
        <v>22</v>
      </c>
      <c r="D114" s="12" t="s">
        <v>23</v>
      </c>
      <c r="E114" s="12"/>
      <c r="F114" s="14" t="n">
        <v>0</v>
      </c>
      <c r="G114" s="15" t="n">
        <f aca="false">F114/$B$7</f>
        <v>0</v>
      </c>
      <c r="H114" s="16" t="s">
        <v>232</v>
      </c>
    </row>
    <row r="115" customFormat="false" ht="15.75" hidden="false" customHeight="true" outlineLevel="0" collapsed="false">
      <c r="A115" s="12" t="n">
        <v>104</v>
      </c>
      <c r="B115" s="13" t="s">
        <v>233</v>
      </c>
      <c r="C115" s="12" t="s">
        <v>22</v>
      </c>
      <c r="D115" s="12" t="s">
        <v>23</v>
      </c>
      <c r="E115" s="12"/>
      <c r="F115" s="14" t="n">
        <v>0</v>
      </c>
      <c r="G115" s="15" t="n">
        <f aca="false">F115/$B$7</f>
        <v>0</v>
      </c>
      <c r="H115" s="16" t="s">
        <v>234</v>
      </c>
    </row>
    <row r="116" customFormat="false" ht="15.75" hidden="false" customHeight="true" outlineLevel="0" collapsed="false">
      <c r="A116" s="12" t="n">
        <v>105</v>
      </c>
      <c r="B116" s="13" t="s">
        <v>235</v>
      </c>
      <c r="C116" s="12" t="s">
        <v>22</v>
      </c>
      <c r="D116" s="12" t="s">
        <v>23</v>
      </c>
      <c r="E116" s="12"/>
      <c r="F116" s="14" t="n">
        <v>0</v>
      </c>
      <c r="G116" s="15" t="n">
        <f aca="false">F116/$B$7</f>
        <v>0</v>
      </c>
      <c r="H116" s="16" t="s">
        <v>236</v>
      </c>
    </row>
    <row r="117" customFormat="false" ht="15.75" hidden="false" customHeight="true" outlineLevel="0" collapsed="false">
      <c r="A117" s="12" t="n">
        <v>106</v>
      </c>
      <c r="B117" s="13" t="s">
        <v>237</v>
      </c>
      <c r="C117" s="12" t="s">
        <v>22</v>
      </c>
      <c r="D117" s="12" t="s">
        <v>23</v>
      </c>
      <c r="E117" s="12"/>
      <c r="F117" s="14" t="n">
        <v>0</v>
      </c>
      <c r="G117" s="15" t="n">
        <f aca="false">F117/$B$7</f>
        <v>0</v>
      </c>
      <c r="H117" s="16" t="s">
        <v>238</v>
      </c>
    </row>
    <row r="118" customFormat="false" ht="15.75" hidden="false" customHeight="true" outlineLevel="0" collapsed="false">
      <c r="A118" s="12" t="n">
        <v>107</v>
      </c>
      <c r="B118" s="13" t="s">
        <v>239</v>
      </c>
      <c r="C118" s="12" t="s">
        <v>22</v>
      </c>
      <c r="D118" s="12" t="s">
        <v>23</v>
      </c>
      <c r="E118" s="12"/>
      <c r="F118" s="14" t="n">
        <v>0</v>
      </c>
      <c r="G118" s="15" t="n">
        <f aca="false">F118/$B$7</f>
        <v>0</v>
      </c>
      <c r="H118" s="16" t="s">
        <v>240</v>
      </c>
    </row>
    <row r="119" customFormat="false" ht="15.75" hidden="false" customHeight="true" outlineLevel="0" collapsed="false">
      <c r="A119" s="12" t="n">
        <v>108</v>
      </c>
      <c r="B119" s="13" t="s">
        <v>241</v>
      </c>
      <c r="C119" s="12" t="s">
        <v>22</v>
      </c>
      <c r="D119" s="12" t="s">
        <v>23</v>
      </c>
      <c r="E119" s="12"/>
      <c r="F119" s="14" t="n">
        <v>0</v>
      </c>
      <c r="G119" s="15" t="n">
        <f aca="false">F119/$B$7</f>
        <v>0</v>
      </c>
      <c r="H119" s="16" t="s">
        <v>242</v>
      </c>
    </row>
    <row r="120" customFormat="false" ht="15.75" hidden="false" customHeight="true" outlineLevel="0" collapsed="false">
      <c r="A120" s="12" t="n">
        <v>109</v>
      </c>
      <c r="B120" s="13" t="s">
        <v>243</v>
      </c>
      <c r="C120" s="12" t="s">
        <v>22</v>
      </c>
      <c r="D120" s="12" t="s">
        <v>23</v>
      </c>
      <c r="E120" s="12"/>
      <c r="F120" s="14" t="n">
        <v>0</v>
      </c>
      <c r="G120" s="15" t="n">
        <f aca="false">F120/$B$7</f>
        <v>0</v>
      </c>
      <c r="H120" s="16" t="s">
        <v>244</v>
      </c>
    </row>
    <row r="121" customFormat="false" ht="15.75" hidden="false" customHeight="true" outlineLevel="0" collapsed="false">
      <c r="A121" s="12" t="n">
        <v>110</v>
      </c>
      <c r="B121" s="13" t="s">
        <v>245</v>
      </c>
      <c r="C121" s="12" t="s">
        <v>22</v>
      </c>
      <c r="D121" s="12" t="s">
        <v>23</v>
      </c>
      <c r="E121" s="12"/>
      <c r="F121" s="14" t="n">
        <v>0</v>
      </c>
      <c r="G121" s="15" t="n">
        <f aca="false">F121/$B$7</f>
        <v>0</v>
      </c>
      <c r="H121" s="16" t="s">
        <v>246</v>
      </c>
    </row>
    <row r="122" customFormat="false" ht="15.75" hidden="false" customHeight="true" outlineLevel="0" collapsed="false">
      <c r="A122" s="12" t="n">
        <v>111</v>
      </c>
      <c r="B122" s="13" t="s">
        <v>247</v>
      </c>
      <c r="C122" s="12" t="s">
        <v>22</v>
      </c>
      <c r="D122" s="12" t="s">
        <v>23</v>
      </c>
      <c r="E122" s="12"/>
      <c r="F122" s="14" t="n">
        <v>0</v>
      </c>
      <c r="G122" s="15" t="n">
        <f aca="false">F122/$B$7</f>
        <v>0</v>
      </c>
      <c r="H122" s="16" t="s">
        <v>248</v>
      </c>
    </row>
    <row r="123" customFormat="false" ht="15.75" hidden="false" customHeight="true" outlineLevel="0" collapsed="false">
      <c r="A123" s="12" t="n">
        <v>112</v>
      </c>
      <c r="B123" s="13" t="s">
        <v>249</v>
      </c>
      <c r="C123" s="12" t="s">
        <v>22</v>
      </c>
      <c r="D123" s="12" t="s">
        <v>23</v>
      </c>
      <c r="E123" s="12"/>
      <c r="F123" s="14" t="n">
        <v>0</v>
      </c>
      <c r="G123" s="15" t="n">
        <f aca="false">F123/$B$7</f>
        <v>0</v>
      </c>
      <c r="H123" s="16" t="s">
        <v>250</v>
      </c>
    </row>
    <row r="124" customFormat="false" ht="15.75" hidden="false" customHeight="true" outlineLevel="0" collapsed="false">
      <c r="A124" s="12" t="n">
        <v>113</v>
      </c>
      <c r="B124" s="13" t="s">
        <v>251</v>
      </c>
      <c r="C124" s="12" t="s">
        <v>22</v>
      </c>
      <c r="D124" s="12" t="s">
        <v>23</v>
      </c>
      <c r="E124" s="12"/>
      <c r="F124" s="14" t="n">
        <v>0</v>
      </c>
      <c r="G124" s="15" t="n">
        <f aca="false">F124/$B$7</f>
        <v>0</v>
      </c>
      <c r="H124" s="16" t="s">
        <v>252</v>
      </c>
    </row>
    <row r="125" customFormat="false" ht="15.75" hidden="false" customHeight="true" outlineLevel="0" collapsed="false">
      <c r="A125" s="12" t="n">
        <v>114</v>
      </c>
      <c r="B125" s="13" t="s">
        <v>253</v>
      </c>
      <c r="C125" s="12" t="s">
        <v>22</v>
      </c>
      <c r="D125" s="12" t="s">
        <v>23</v>
      </c>
      <c r="E125" s="12"/>
      <c r="F125" s="14" t="n">
        <v>0</v>
      </c>
      <c r="G125" s="15" t="n">
        <f aca="false">F125/$B$7</f>
        <v>0</v>
      </c>
      <c r="H125" s="16" t="s">
        <v>254</v>
      </c>
    </row>
    <row r="126" customFormat="false" ht="15.75" hidden="false" customHeight="true" outlineLevel="0" collapsed="false">
      <c r="A126" s="12" t="n">
        <v>115</v>
      </c>
      <c r="B126" s="13" t="s">
        <v>255</v>
      </c>
      <c r="C126" s="12" t="s">
        <v>22</v>
      </c>
      <c r="D126" s="12" t="s">
        <v>23</v>
      </c>
      <c r="E126" s="12"/>
      <c r="F126" s="14" t="n">
        <v>0</v>
      </c>
      <c r="G126" s="15" t="n">
        <f aca="false">F126/$B$7</f>
        <v>0</v>
      </c>
      <c r="H126" s="16" t="s">
        <v>256</v>
      </c>
    </row>
    <row r="127" customFormat="false" ht="15.75" hidden="false" customHeight="true" outlineLevel="0" collapsed="false">
      <c r="A127" s="12" t="n">
        <v>116</v>
      </c>
      <c r="B127" s="13" t="s">
        <v>257</v>
      </c>
      <c r="C127" s="12" t="s">
        <v>22</v>
      </c>
      <c r="D127" s="12" t="s">
        <v>23</v>
      </c>
      <c r="E127" s="12"/>
      <c r="F127" s="14" t="n">
        <v>0</v>
      </c>
      <c r="G127" s="15" t="n">
        <f aca="false">F127/$B$7</f>
        <v>0</v>
      </c>
      <c r="H127" s="16" t="s">
        <v>258</v>
      </c>
    </row>
    <row r="128" customFormat="false" ht="15.75" hidden="false" customHeight="true" outlineLevel="0" collapsed="false">
      <c r="A128" s="12" t="n">
        <v>117</v>
      </c>
      <c r="B128" s="13" t="s">
        <v>259</v>
      </c>
      <c r="C128" s="12" t="s">
        <v>40</v>
      </c>
      <c r="D128" s="12" t="s">
        <v>45</v>
      </c>
      <c r="E128" s="12"/>
      <c r="F128" s="14" t="n">
        <v>41519</v>
      </c>
      <c r="G128" s="15" t="n">
        <f aca="false">F128/$B$7</f>
        <v>0.135016308359701</v>
      </c>
      <c r="H128" s="16" t="s">
        <v>260</v>
      </c>
    </row>
    <row r="129" customFormat="false" ht="15.75" hidden="false" customHeight="true" outlineLevel="0" collapsed="false">
      <c r="A129" s="12" t="n">
        <v>118</v>
      </c>
      <c r="B129" s="13" t="s">
        <v>261</v>
      </c>
      <c r="C129" s="12" t="s">
        <v>40</v>
      </c>
      <c r="D129" s="12" t="s">
        <v>45</v>
      </c>
      <c r="E129" s="12"/>
      <c r="F129" s="14" t="n">
        <v>41519</v>
      </c>
      <c r="G129" s="15" t="n">
        <f aca="false">F129/$B$7</f>
        <v>0.135016308359701</v>
      </c>
      <c r="H129" s="16" t="s">
        <v>262</v>
      </c>
    </row>
    <row r="130" customFormat="false" ht="15.75" hidden="false" customHeight="true" outlineLevel="0" collapsed="false">
      <c r="A130" s="12" t="n">
        <v>119</v>
      </c>
      <c r="B130" s="13" t="s">
        <v>263</v>
      </c>
      <c r="C130" s="12" t="s">
        <v>40</v>
      </c>
      <c r="D130" s="12" t="s">
        <v>45</v>
      </c>
      <c r="E130" s="12"/>
      <c r="F130" s="14" t="n">
        <v>41519</v>
      </c>
      <c r="G130" s="15" t="n">
        <f aca="false">F130/$B$7</f>
        <v>0.135016308359701</v>
      </c>
      <c r="H130" s="16" t="s">
        <v>264</v>
      </c>
    </row>
    <row r="131" customFormat="false" ht="15.75" hidden="false" customHeight="true" outlineLevel="0" collapsed="false">
      <c r="A131" s="12" t="n">
        <v>120</v>
      </c>
      <c r="B131" s="13" t="s">
        <v>265</v>
      </c>
      <c r="C131" s="12" t="s">
        <v>40</v>
      </c>
      <c r="D131" s="12" t="s">
        <v>45</v>
      </c>
      <c r="E131" s="12"/>
      <c r="F131" s="14" t="n">
        <v>41519</v>
      </c>
      <c r="G131" s="15" t="n">
        <f aca="false">F131/$B$7</f>
        <v>0.135016308359701</v>
      </c>
      <c r="H131" s="16" t="s">
        <v>266</v>
      </c>
    </row>
    <row r="132" customFormat="false" ht="15.75" hidden="false" customHeight="true" outlineLevel="0" collapsed="false">
      <c r="A132" s="12" t="n">
        <v>121</v>
      </c>
      <c r="B132" s="13" t="s">
        <v>267</v>
      </c>
      <c r="C132" s="12" t="s">
        <v>40</v>
      </c>
      <c r="D132" s="12" t="s">
        <v>45</v>
      </c>
      <c r="E132" s="12"/>
      <c r="F132" s="14" t="n">
        <v>41519</v>
      </c>
      <c r="G132" s="15" t="n">
        <f aca="false">F132/$B$7</f>
        <v>0.135016308359701</v>
      </c>
      <c r="H132" s="16" t="s">
        <v>268</v>
      </c>
    </row>
    <row r="133" customFormat="false" ht="15.75" hidden="false" customHeight="true" outlineLevel="0" collapsed="false">
      <c r="A133" s="12" t="n">
        <v>122</v>
      </c>
      <c r="B133" s="13" t="s">
        <v>269</v>
      </c>
      <c r="C133" s="12" t="s">
        <v>40</v>
      </c>
      <c r="D133" s="12" t="s">
        <v>45</v>
      </c>
      <c r="E133" s="12"/>
      <c r="F133" s="14" t="n">
        <v>41519</v>
      </c>
      <c r="G133" s="15" t="n">
        <f aca="false">F133/$B$7</f>
        <v>0.135016308359701</v>
      </c>
      <c r="H133" s="16" t="s">
        <v>270</v>
      </c>
    </row>
  </sheetData>
  <autoFilter ref="A11:H133"/>
  <mergeCells count="8">
    <mergeCell ref="A1:H1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2026-09-21T00:44:35Z</dcterms:created>
  <dc:creator>openpyxl</dc:creator>
  <dc:description/>
  <dc:language>en-US</dc:language>
  <cp:lastModifiedBy/>
  <dcterms:modified xsi:type="dcterms:W3CDTF">2026-09-21T00:44:35Z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